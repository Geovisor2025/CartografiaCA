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vrivera\Downloads\"/>
    </mc:Choice>
  </mc:AlternateContent>
  <xr:revisionPtr revIDLastSave="0" documentId="13_ncr:1_{3B2D2C8D-37A1-4C5F-A606-4710B3B2BEFA}" xr6:coauthVersionLast="47" xr6:coauthVersionMax="47" xr10:uidLastSave="{00000000-0000-0000-0000-000000000000}"/>
  <workbookProtection workbookAlgorithmName="SHA-512" workbookHashValue="1GT0oszcYSWSg5OGRHo7vcoum4AKbGR3Yo8Ae1xul5HFEIG1xT7RHNHRP9SMB4JEiks1CVYLltPbR82AWUzegw==" workbookSaltValue="xB6k66JjGjv2uAdrg21D/w==" workbookSpinCount="100000" lockStructure="1"/>
  <bookViews>
    <workbookView xWindow="-120" yWindow="-120" windowWidth="29040" windowHeight="15720" firstSheet="1" activeTab="2" xr2:uid="{B0BC2011-7193-4694-991D-18ECED5A590B}"/>
  </bookViews>
  <sheets>
    <sheet name="DIN" sheetId="2" state="hidden" r:id="rId1"/>
    <sheet name="BASE" sheetId="1" r:id="rId2"/>
    <sheet name="TABLERO" sheetId="3" r:id="rId3"/>
  </sheets>
  <definedNames>
    <definedName name="NativeTimeline_FECHA">#N/A</definedName>
    <definedName name="SegmentaciónDeDatos_DEPARTAMENTOS">#N/A</definedName>
    <definedName name="SegmentaciónDeDatos_MUNICIPIOS">#N/A</definedName>
    <definedName name="SegmentaciónDeDatos_TÉCNICO">#N/A</definedName>
  </definedNames>
  <calcPr calcId="191029"/>
  <pivotCaches>
    <pivotCache cacheId="45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" i="1" l="1"/>
  <c r="R13" i="1"/>
  <c r="R14" i="1"/>
  <c r="R26" i="1"/>
  <c r="S26" i="1" s="1"/>
  <c r="R28" i="1"/>
  <c r="S28" i="1" s="1"/>
  <c r="R37" i="1"/>
  <c r="S37" i="1" s="1"/>
  <c r="R38" i="1"/>
  <c r="S38" i="1" s="1"/>
  <c r="R40" i="1"/>
  <c r="S40" i="1" s="1"/>
  <c r="R49" i="1"/>
  <c r="S49" i="1" s="1"/>
  <c r="R50" i="1"/>
  <c r="S50" i="1" s="1"/>
  <c r="R52" i="1"/>
  <c r="R62" i="1"/>
  <c r="R63" i="1"/>
  <c r="R64" i="1"/>
  <c r="R73" i="1"/>
  <c r="S73" i="1" s="1"/>
  <c r="R74" i="1"/>
  <c r="S74" i="1" s="1"/>
  <c r="R75" i="1"/>
  <c r="S75" i="1" s="1"/>
  <c r="R76" i="1"/>
  <c r="S76" i="1" s="1"/>
  <c r="R87" i="1"/>
  <c r="S87" i="1" s="1"/>
  <c r="R88" i="1"/>
  <c r="S88" i="1" s="1"/>
  <c r="R97" i="1"/>
  <c r="S97" i="1" s="1"/>
  <c r="R98" i="1"/>
  <c r="S98" i="1" s="1"/>
  <c r="R99" i="1"/>
  <c r="S99" i="1" s="1"/>
  <c r="R100" i="1"/>
  <c r="S100" i="1" s="1"/>
  <c r="R101" i="1"/>
  <c r="S101" i="1" s="1"/>
  <c r="R109" i="1"/>
  <c r="S52" i="1"/>
  <c r="Q109" i="1"/>
  <c r="Q108" i="1"/>
  <c r="R108" i="1" s="1"/>
  <c r="Q107" i="1"/>
  <c r="Q106" i="1"/>
  <c r="R106" i="1" s="1"/>
  <c r="Q105" i="1"/>
  <c r="R105" i="1" s="1"/>
  <c r="Q104" i="1"/>
  <c r="Q103" i="1"/>
  <c r="R103" i="1" s="1"/>
  <c r="Q102" i="1"/>
  <c r="R102" i="1" s="1"/>
  <c r="S102" i="1" s="1"/>
  <c r="Q101" i="1"/>
  <c r="Q100" i="1"/>
  <c r="Q99" i="1"/>
  <c r="Q98" i="1"/>
  <c r="Q97" i="1"/>
  <c r="Q96" i="1"/>
  <c r="R96" i="1" s="1"/>
  <c r="S96" i="1" s="1"/>
  <c r="Q95" i="1"/>
  <c r="R95" i="1" s="1"/>
  <c r="S95" i="1" s="1"/>
  <c r="Q94" i="1"/>
  <c r="R94" i="1" s="1"/>
  <c r="S94" i="1" s="1"/>
  <c r="Q93" i="1"/>
  <c r="R93" i="1" s="1"/>
  <c r="S93" i="1" s="1"/>
  <c r="Q92" i="1"/>
  <c r="R92" i="1" s="1"/>
  <c r="S92" i="1" s="1"/>
  <c r="Q91" i="1"/>
  <c r="R91" i="1" s="1"/>
  <c r="S91" i="1" s="1"/>
  <c r="Q90" i="1"/>
  <c r="R90" i="1" s="1"/>
  <c r="S90" i="1" s="1"/>
  <c r="Q89" i="1"/>
  <c r="R89" i="1" s="1"/>
  <c r="S89" i="1" s="1"/>
  <c r="Q88" i="1"/>
  <c r="Q87" i="1"/>
  <c r="Q86" i="1"/>
  <c r="R86" i="1" s="1"/>
  <c r="S86" i="1" s="1"/>
  <c r="Q85" i="1"/>
  <c r="R85" i="1" s="1"/>
  <c r="S85" i="1" s="1"/>
  <c r="Q84" i="1"/>
  <c r="R84" i="1" s="1"/>
  <c r="S84" i="1" s="1"/>
  <c r="Q83" i="1"/>
  <c r="R83" i="1" s="1"/>
  <c r="S83" i="1" s="1"/>
  <c r="Q82" i="1"/>
  <c r="R82" i="1" s="1"/>
  <c r="S82" i="1" s="1"/>
  <c r="Q81" i="1"/>
  <c r="R81" i="1" s="1"/>
  <c r="S81" i="1" s="1"/>
  <c r="Q80" i="1"/>
  <c r="R80" i="1" s="1"/>
  <c r="S80" i="1" s="1"/>
  <c r="Q79" i="1"/>
  <c r="R79" i="1" s="1"/>
  <c r="S79" i="1" s="1"/>
  <c r="Q78" i="1"/>
  <c r="R78" i="1" s="1"/>
  <c r="S78" i="1" s="1"/>
  <c r="Q77" i="1"/>
  <c r="R77" i="1" s="1"/>
  <c r="S77" i="1" s="1"/>
  <c r="Q76" i="1"/>
  <c r="Q75" i="1"/>
  <c r="Q74" i="1"/>
  <c r="Q73" i="1"/>
  <c r="Q72" i="1"/>
  <c r="R72" i="1" s="1"/>
  <c r="S72" i="1" s="1"/>
  <c r="Q71" i="1"/>
  <c r="Q70" i="1"/>
  <c r="R70" i="1" s="1"/>
  <c r="Q69" i="1"/>
  <c r="R69" i="1" s="1"/>
  <c r="Q68" i="1"/>
  <c r="Q67" i="1"/>
  <c r="R67" i="1" s="1"/>
  <c r="Q66" i="1"/>
  <c r="R66" i="1" s="1"/>
  <c r="Q65" i="1"/>
  <c r="R65" i="1" s="1"/>
  <c r="Q64" i="1"/>
  <c r="Q63" i="1"/>
  <c r="Q62" i="1"/>
  <c r="Q61" i="1"/>
  <c r="R61" i="1" s="1"/>
  <c r="Q60" i="1"/>
  <c r="R60" i="1" s="1"/>
  <c r="Q59" i="1"/>
  <c r="Q58" i="1"/>
  <c r="R58" i="1" s="1"/>
  <c r="Q57" i="1"/>
  <c r="Q56" i="1"/>
  <c r="R56" i="1" s="1"/>
  <c r="S56" i="1" s="1"/>
  <c r="Q55" i="1"/>
  <c r="R55" i="1" s="1"/>
  <c r="S55" i="1" s="1"/>
  <c r="Q54" i="1"/>
  <c r="R54" i="1" s="1"/>
  <c r="S54" i="1" s="1"/>
  <c r="Q53" i="1"/>
  <c r="R53" i="1" s="1"/>
  <c r="S53" i="1" s="1"/>
  <c r="Q52" i="1"/>
  <c r="Q51" i="1"/>
  <c r="R51" i="1" s="1"/>
  <c r="S51" i="1" s="1"/>
  <c r="Q50" i="1"/>
  <c r="Q49" i="1"/>
  <c r="Q48" i="1"/>
  <c r="R48" i="1" s="1"/>
  <c r="S48" i="1" s="1"/>
  <c r="Q47" i="1"/>
  <c r="R47" i="1" s="1"/>
  <c r="S47" i="1" s="1"/>
  <c r="Q46" i="1"/>
  <c r="R46" i="1" s="1"/>
  <c r="S46" i="1" s="1"/>
  <c r="Q45" i="1"/>
  <c r="R45" i="1" s="1"/>
  <c r="S45" i="1" s="1"/>
  <c r="Q44" i="1"/>
  <c r="R44" i="1" s="1"/>
  <c r="S44" i="1" s="1"/>
  <c r="Q43" i="1"/>
  <c r="R43" i="1" s="1"/>
  <c r="S43" i="1" s="1"/>
  <c r="Q42" i="1"/>
  <c r="R42" i="1" s="1"/>
  <c r="S42" i="1" s="1"/>
  <c r="Q41" i="1"/>
  <c r="R41" i="1" s="1"/>
  <c r="S41" i="1" s="1"/>
  <c r="Q40" i="1"/>
  <c r="Q39" i="1"/>
  <c r="R39" i="1" s="1"/>
  <c r="S39" i="1" s="1"/>
  <c r="Q38" i="1"/>
  <c r="Q37" i="1"/>
  <c r="Q36" i="1"/>
  <c r="R36" i="1" s="1"/>
  <c r="S36" i="1" s="1"/>
  <c r="Q35" i="1"/>
  <c r="R35" i="1" s="1"/>
  <c r="S35" i="1" s="1"/>
  <c r="Q34" i="1"/>
  <c r="R34" i="1" s="1"/>
  <c r="S34" i="1" s="1"/>
  <c r="Q33" i="1"/>
  <c r="R33" i="1" s="1"/>
  <c r="S33" i="1" s="1"/>
  <c r="Q32" i="1"/>
  <c r="R32" i="1" s="1"/>
  <c r="S32" i="1" s="1"/>
  <c r="Q31" i="1"/>
  <c r="R31" i="1" s="1"/>
  <c r="S31" i="1" s="1"/>
  <c r="Q30" i="1"/>
  <c r="R30" i="1" s="1"/>
  <c r="S30" i="1" s="1"/>
  <c r="Q29" i="1"/>
  <c r="R29" i="1" s="1"/>
  <c r="S29" i="1" s="1"/>
  <c r="Q28" i="1"/>
  <c r="Q27" i="1"/>
  <c r="R27" i="1" s="1"/>
  <c r="S27" i="1" s="1"/>
  <c r="Q26" i="1"/>
  <c r="Q25" i="1"/>
  <c r="R25" i="1" s="1"/>
  <c r="S25" i="1" s="1"/>
  <c r="Q24" i="1"/>
  <c r="R24" i="1" s="1"/>
  <c r="S24" i="1" s="1"/>
  <c r="Q23" i="1"/>
  <c r="R23" i="1" s="1"/>
  <c r="S23" i="1" s="1"/>
  <c r="Q22" i="1"/>
  <c r="R22" i="1" s="1"/>
  <c r="S22" i="1" s="1"/>
  <c r="Q21" i="1"/>
  <c r="R21" i="1" s="1"/>
  <c r="S21" i="1" s="1"/>
  <c r="Q20" i="1"/>
  <c r="R20" i="1" s="1"/>
  <c r="Q19" i="1"/>
  <c r="R19" i="1" s="1"/>
  <c r="Q18" i="1"/>
  <c r="R18" i="1" s="1"/>
  <c r="Q17" i="1"/>
  <c r="R17" i="1" s="1"/>
  <c r="Q16" i="1"/>
  <c r="R16" i="1" s="1"/>
  <c r="Q15" i="1"/>
  <c r="R15" i="1" s="1"/>
  <c r="Q14" i="1"/>
  <c r="Q13" i="1"/>
  <c r="Q12" i="1"/>
  <c r="R12" i="1" s="1"/>
  <c r="Q11" i="1"/>
  <c r="Q10" i="1"/>
  <c r="R10" i="1" s="1"/>
  <c r="Q9" i="1"/>
  <c r="Q8" i="1"/>
  <c r="Q7" i="1"/>
  <c r="Q6" i="1"/>
  <c r="R6" i="1" s="1"/>
  <c r="Q5" i="1"/>
  <c r="R5" i="1" s="1"/>
  <c r="Q4" i="1"/>
  <c r="Q3" i="1"/>
  <c r="R3" i="1" s="1"/>
  <c r="Q2" i="1"/>
  <c r="R2" i="1" s="1"/>
  <c r="S2" i="1" s="1"/>
  <c r="J39" i="3"/>
  <c r="J37" i="3"/>
  <c r="J35" i="3"/>
  <c r="F39" i="3"/>
  <c r="F37" i="3"/>
  <c r="F35" i="3"/>
  <c r="F43" i="3"/>
  <c r="H43" i="3"/>
  <c r="D43" i="3"/>
  <c r="L43" i="3"/>
  <c r="J43" i="3"/>
  <c r="W28" i="3"/>
  <c r="U28" i="3"/>
  <c r="W26" i="3"/>
  <c r="W24" i="3"/>
  <c r="W22" i="3"/>
  <c r="W20" i="3"/>
  <c r="W18" i="3"/>
  <c r="W16" i="3"/>
  <c r="U26" i="3"/>
  <c r="U24" i="3"/>
  <c r="U22" i="3"/>
  <c r="U20" i="3"/>
  <c r="U18" i="3"/>
  <c r="U16" i="3"/>
  <c r="C16" i="3"/>
  <c r="S8" i="1" l="1"/>
  <c r="R107" i="1"/>
  <c r="S107" i="1" s="1"/>
  <c r="R71" i="1"/>
  <c r="S71" i="1" s="1"/>
  <c r="R59" i="1"/>
  <c r="S59" i="1" s="1"/>
  <c r="R11" i="1"/>
  <c r="S11" i="1" s="1"/>
  <c r="S4" i="1"/>
  <c r="S16" i="1"/>
  <c r="S64" i="1"/>
  <c r="R57" i="1"/>
  <c r="S57" i="1" s="1"/>
  <c r="R9" i="1"/>
  <c r="S9" i="1" s="1"/>
  <c r="S5" i="1"/>
  <c r="S17" i="1"/>
  <c r="S65" i="1"/>
  <c r="R104" i="1"/>
  <c r="S104" i="1" s="1"/>
  <c r="R68" i="1"/>
  <c r="S68" i="1" s="1"/>
  <c r="R8" i="1"/>
  <c r="S20" i="1"/>
  <c r="R7" i="1"/>
  <c r="S7" i="1" s="1"/>
  <c r="S19" i="1"/>
  <c r="S67" i="1"/>
  <c r="S103" i="1"/>
  <c r="S69" i="1"/>
  <c r="S105" i="1"/>
  <c r="S10" i="1"/>
  <c r="S58" i="1"/>
  <c r="S70" i="1"/>
  <c r="S106" i="1"/>
  <c r="S12" i="1"/>
  <c r="S60" i="1"/>
  <c r="S108" i="1"/>
  <c r="S13" i="1"/>
  <c r="S61" i="1"/>
  <c r="S109" i="1"/>
  <c r="S14" i="1"/>
  <c r="S62" i="1"/>
  <c r="S3" i="1"/>
  <c r="S15" i="1"/>
  <c r="S63" i="1"/>
  <c r="S6" i="1"/>
  <c r="S18" i="1"/>
  <c r="S66" i="1"/>
</calcChain>
</file>

<file path=xl/sharedStrings.xml><?xml version="1.0" encoding="utf-8"?>
<sst xmlns="http://schemas.openxmlformats.org/spreadsheetml/2006/main" count="696" uniqueCount="142">
  <si>
    <t>FECHA</t>
  </si>
  <si>
    <t>SUPERVISOR</t>
  </si>
  <si>
    <t>TÉCNICO</t>
  </si>
  <si>
    <t>DEPARTAMENTOS</t>
  </si>
  <si>
    <t>MUNICIPIOS</t>
  </si>
  <si>
    <t xml:space="preserve">TAREAS  </t>
  </si>
  <si>
    <t>GRADO DE DIFICULTAD</t>
  </si>
  <si>
    <t>CARGA TOTAL</t>
  </si>
  <si>
    <t>CARGA DE AVANCE 1</t>
  </si>
  <si>
    <t>CARGA DE AVANCE 2</t>
  </si>
  <si>
    <t>CARGA DE AVANCE 3</t>
  </si>
  <si>
    <t>CARGA DE AVANCE 4</t>
  </si>
  <si>
    <t>CARGA DE AVANCE 5</t>
  </si>
  <si>
    <t>CARGA DE AVANCE 6</t>
  </si>
  <si>
    <t>CARGA DE AVANCE TOTAL</t>
  </si>
  <si>
    <t>% AVANCE</t>
  </si>
  <si>
    <t>ESTADO</t>
  </si>
  <si>
    <t>TAREAS EXTRAS</t>
  </si>
  <si>
    <t>DIFICIL</t>
  </si>
  <si>
    <t>LIMPIEZA DE INFORMACIÓN</t>
  </si>
  <si>
    <t>MEDIO</t>
  </si>
  <si>
    <t>LA PAZ</t>
  </si>
  <si>
    <t>IXIAMAS</t>
  </si>
  <si>
    <t>DESAGUADERO</t>
  </si>
  <si>
    <t>FACIL</t>
  </si>
  <si>
    <t>LA ASUNTA</t>
  </si>
  <si>
    <t>SAN BUENAVENTURA</t>
  </si>
  <si>
    <t>TACACOMA</t>
  </si>
  <si>
    <t>Etiquetas de fila</t>
  </si>
  <si>
    <t>Total general</t>
  </si>
  <si>
    <t>Promedio de % AVANCE</t>
  </si>
  <si>
    <t>Suma de CARGA DE AVANCE 1</t>
  </si>
  <si>
    <t>Suma de CARGA DE AVANCE 2</t>
  </si>
  <si>
    <t>Suma de CARGA DE AVANCE 3</t>
  </si>
  <si>
    <t>Suma de CARGA DE AVANCE 4</t>
  </si>
  <si>
    <t>Suma de CARGA DE AVANCE 5</t>
  </si>
  <si>
    <t>Suma de CARGA DE AVANCE 6</t>
  </si>
  <si>
    <t>CONTROL MARCO MULTIPLE</t>
  </si>
  <si>
    <t>AVANCE GENERAL</t>
  </si>
  <si>
    <t>SCORE DE AVANCE</t>
  </si>
  <si>
    <t>Nº</t>
  </si>
  <si>
    <t>CONTROL PROGRESIVO DE AVANCE</t>
  </si>
  <si>
    <t>CONFORMACION AEs</t>
  </si>
  <si>
    <t>CONFORMACION AGs</t>
  </si>
  <si>
    <t>TAREAS</t>
  </si>
  <si>
    <t>CONFORMACION ABAs</t>
  </si>
  <si>
    <t>AVANCE 1</t>
  </si>
  <si>
    <t>AVANCE 2</t>
  </si>
  <si>
    <t>AVANCE 3</t>
  </si>
  <si>
    <t>AVANCE 4</t>
  </si>
  <si>
    <t>AVANCE 5</t>
  </si>
  <si>
    <t>AVANCE 6</t>
  </si>
  <si>
    <t>=</t>
  </si>
  <si>
    <t>CONFORMACIÓN DE ABAS</t>
  </si>
  <si>
    <t>FECHA FIN</t>
  </si>
  <si>
    <t>DESCRIPCION</t>
  </si>
  <si>
    <t>RONALD RODRIGO MEDRANO SALAS</t>
  </si>
  <si>
    <t>CINTHIA HUANACO HUAJLLIRI</t>
  </si>
  <si>
    <t>SANTA CRUZ</t>
  </si>
  <si>
    <t>PORONGO</t>
  </si>
  <si>
    <t>FRANK ANDRES BEJARANO TEJADA</t>
  </si>
  <si>
    <t>ORURO</t>
  </si>
  <si>
    <t>ANDAMARCA</t>
  </si>
  <si>
    <t>RAMIRO JHOEL MARTINEZ APAZA</t>
  </si>
  <si>
    <t>REALIZACIÓN DE PRESENTACIÓN (TEMATICA)</t>
  </si>
  <si>
    <t>SAN IGNACIO</t>
  </si>
  <si>
    <t>CUATRO CAÑADAS</t>
  </si>
  <si>
    <t>LIMPIEZA  INRA PARCELADO DEL MUNICIPIO DE HUATAJATA</t>
  </si>
  <si>
    <t>REALIZACION DE LA PRESENTACION DE LA UNIDAD DE CARTOGRAFIA</t>
  </si>
  <si>
    <t>ROBORE</t>
  </si>
  <si>
    <t>DE CRITERIOS PARA CONSIDERAR ÁREAS MIXTAS PARA LOS MUNICIPIOS DEL CENSO EXPERIMENTAL</t>
  </si>
  <si>
    <t>LIMPIEZA  INRA PARCELADO DEL MUNICIPIO DE VILLA VACA GUZMAN</t>
  </si>
  <si>
    <t>REVISION DE EMPAREJAMIENTO DE LA COBERTURA CA_PUNTOS_UPAS</t>
  </si>
  <si>
    <t>LIMPIEZA DE POLIGONOS INRA PARCELADO DEL MUNICIPIO DE CARANAVI</t>
  </si>
  <si>
    <t>SAN JULIAN</t>
  </si>
  <si>
    <t>LIMPIEZA DE POLIGONOS INRA PARCELADO DEL MUNICIPIO DE URIONDO</t>
  </si>
  <si>
    <t>CHARAGUA</t>
  </si>
  <si>
    <t>JOSE LUIS QUISPE UCEDO</t>
  </si>
  <si>
    <t>DIANA ADUVIRI CONDORI</t>
  </si>
  <si>
    <t>TARACO</t>
  </si>
  <si>
    <t>VILLA ANCORAIMES</t>
  </si>
  <si>
    <t>CRISTIAN ALEJANDRO NINA ARIAS</t>
  </si>
  <si>
    <t>COLPA BELGICA</t>
  </si>
  <si>
    <t>DILAN RAMIRO MARCA RIOS</t>
  </si>
  <si>
    <t>SAN ANTONIO DE LOMERIO</t>
  </si>
  <si>
    <t>EL PUENTE</t>
  </si>
  <si>
    <t>COMARAPA</t>
  </si>
  <si>
    <t>MORO MORO</t>
  </si>
  <si>
    <t>MINEROS</t>
  </si>
  <si>
    <t>VILLA EL CARMEN RIVERO TORREZ</t>
  </si>
  <si>
    <t>VALLE GRANDE</t>
  </si>
  <si>
    <t>GUTIERREZ</t>
  </si>
  <si>
    <t>FREDDY OLIVER SOTO HUANCA</t>
  </si>
  <si>
    <t xml:space="preserve">JONATHAN GONZALES TICONA </t>
  </si>
  <si>
    <t>ANTEQUERA</t>
  </si>
  <si>
    <t>CONFORMACION DE ABAs</t>
  </si>
  <si>
    <t>STEFANY NORAH CHUQUIMIA QUICAÑA</t>
  </si>
  <si>
    <t>EL TORNO</t>
  </si>
  <si>
    <t>BELEN DE ANDA MARCA</t>
  </si>
  <si>
    <t>KATIA CHOQUEHUANCA QUISPE</t>
  </si>
  <si>
    <t>CAMIRI</t>
  </si>
  <si>
    <t>COTOCA</t>
  </si>
  <si>
    <t>EMPAREJAMIENTO DEL MARCO DE LISTA.</t>
  </si>
  <si>
    <t>SAN JAVIER</t>
  </si>
  <si>
    <t>LIMPIEZA DE PREDIOS INRA</t>
  </si>
  <si>
    <t>CARACOLLO</t>
  </si>
  <si>
    <t xml:space="preserve">UNIÓN DE LA LIMPIEZA DE PREDIOS INRA DEL MUNICIPIO DE CARANAVI </t>
  </si>
  <si>
    <t>GABRIELA BELEN CESPEDES ROJAS</t>
  </si>
  <si>
    <t>MARIA GUADALUPE FLORES MALDONADO</t>
  </si>
  <si>
    <t>LAGUNILLAS</t>
  </si>
  <si>
    <t>SAN CARLOS</t>
  </si>
  <si>
    <t>LIZBETH MAGALY HEREDIA SANGA</t>
  </si>
  <si>
    <t>PAILON</t>
  </si>
  <si>
    <t>PORTACHUELO</t>
  </si>
  <si>
    <t>ERICK YASID SEGALES CHACON</t>
  </si>
  <si>
    <t>BOYUIBE</t>
  </si>
  <si>
    <t>SAN RAMON</t>
  </si>
  <si>
    <t>LIMPIEZA DE LA CAPA DEL INRA MUNICIPIO DE CARANAVI</t>
  </si>
  <si>
    <t>LIMPIEZA DE LA CAPA DEL INRA MUNICIPIO DE MAGDALENA</t>
  </si>
  <si>
    <t>LIMPIEZA DE LA CAPA DEL INRA MUNICIPIO DE URIONDO</t>
  </si>
  <si>
    <t>VERIFICACION DE EMPAREJAMIENTO - 5  COMUNIDADES DEL MUNICIPIO DE VILLA VACA GUZMAN</t>
  </si>
  <si>
    <t>VERIFICACION DE EMPAREJAMIENTO - 21 COMUNIDADES DEL MUNICIPIO DE CARANAVI</t>
  </si>
  <si>
    <t xml:space="preserve">VERIFICACION DE EMPAREJAMIENTO - 4 COMUNIDADES DEL MUNICIPIO DE URIONDO </t>
  </si>
  <si>
    <t>VERIFICACION DE EMPAREJAMIENTO - 4 COMUNIDADES DEL MUNICIPIO DE FERNANDEZ ALONSO</t>
  </si>
  <si>
    <t>VERIFICACION DE EMPAREJAMIENTO - 21 COMUNIDADES DEL MUNICIPIO DE MAGDALENA</t>
  </si>
  <si>
    <t>VERIFICACION DE EMPAREJAMIENTO - 4  COMUNIDADES DEL MUNICIPIO DE VILLA VACA GUZMAN</t>
  </si>
  <si>
    <t>VERIFICACION DE EMPAREJAMIENTO - 1  COMUNIDAD DEL MUNICIPIO DE HUATAJATA</t>
  </si>
  <si>
    <t>CORRECCION DE LIMPIEZA DE MAGDALENA</t>
  </si>
  <si>
    <t xml:space="preserve">SAN PEDRO  </t>
  </si>
  <si>
    <t>SAN MATIAS</t>
  </si>
  <si>
    <t>MAURICIO JORGE MONTERO LOROÑO</t>
  </si>
  <si>
    <t>MISHEL JUSTINIANO AYLLON</t>
  </si>
  <si>
    <t>QUIRUSILLAS</t>
  </si>
  <si>
    <t>JUAN GABRIEL SORIA MONTAÑO</t>
  </si>
  <si>
    <t>GENERAL SAAVEDRA</t>
  </si>
  <si>
    <t>TARIJA</t>
  </si>
  <si>
    <t>URIONDO</t>
  </si>
  <si>
    <t>LIMPIEZA POLIGONOS INRA, EMPAREJAMIENTO</t>
  </si>
  <si>
    <t>CHUQUISACA</t>
  </si>
  <si>
    <t>VILLA VACA GUZMAN</t>
  </si>
  <si>
    <t>ASCENSION DE GUARAYOS</t>
  </si>
  <si>
    <t>SAN JOSE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</si>
</sst>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3F3F3F"/>
      <name val="Aptos Narrow"/>
      <family val="2"/>
      <scheme val="minor"/>
    </font>
    <font>
      <b/>
      <sz val="48"/>
      <color theme="6" tint="-0.249977111117893"/>
      <name val="Aptos Narrow"/>
      <family val="2"/>
      <scheme val="minor"/>
    </font>
    <font>
      <b/>
      <sz val="22"/>
      <color theme="6" tint="-0.249977111117893"/>
      <name val="Aptos Narrow"/>
      <family val="2"/>
      <scheme val="minor"/>
    </font>
    <font>
      <b/>
      <sz val="20"/>
      <color theme="6" tint="-0.249977111117893"/>
      <name val="Aptos Narrow"/>
      <family val="2"/>
      <scheme val="minor"/>
    </font>
    <font>
      <b/>
      <u/>
      <sz val="14"/>
      <color theme="6" tint="-0.249977111117893"/>
      <name val="Aptos Narrow"/>
      <family val="2"/>
      <scheme val="minor"/>
    </font>
    <font>
      <b/>
      <sz val="36"/>
      <color theme="6" tint="-0.249977111117893"/>
      <name val="Aptos Narrow"/>
      <family val="2"/>
      <scheme val="minor"/>
    </font>
    <font>
      <b/>
      <sz val="16"/>
      <color theme="6" tint="-0.249977111117893"/>
      <name val="Aptos Narrow"/>
      <family val="2"/>
      <scheme val="minor"/>
    </font>
    <font>
      <b/>
      <sz val="14"/>
      <color theme="6" tint="-0.249977111117893"/>
      <name val="Aptos Narrow"/>
      <family val="2"/>
      <scheme val="minor"/>
    </font>
    <font>
      <b/>
      <sz val="18"/>
      <color theme="6" tint="-0.249977111117893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7"/>
      <color theme="1"/>
      <name val="Aptos Narrow"/>
      <family val="2"/>
      <scheme val="minor"/>
    </font>
    <font>
      <sz val="17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4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3" fontId="2" fillId="0" borderId="2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3" fontId="0" fillId="0" borderId="5" xfId="0" applyNumberFormat="1" applyBorder="1" applyAlignment="1">
      <alignment horizontal="center" vertical="center" wrapText="1"/>
    </xf>
    <xf numFmtId="3" fontId="0" fillId="0" borderId="5" xfId="0" applyNumberFormat="1" applyBorder="1" applyAlignment="1">
      <alignment horizontal="center" vertical="center"/>
    </xf>
    <xf numFmtId="9" fontId="0" fillId="0" borderId="5" xfId="1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3" fontId="0" fillId="0" borderId="8" xfId="0" applyNumberFormat="1" applyBorder="1" applyAlignment="1">
      <alignment horizontal="center" vertical="center" wrapText="1"/>
    </xf>
    <xf numFmtId="3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  <xf numFmtId="3" fontId="0" fillId="0" borderId="0" xfId="0" applyNumberFormat="1"/>
    <xf numFmtId="0" fontId="0" fillId="2" borderId="0" xfId="0" applyFill="1"/>
    <xf numFmtId="0" fontId="0" fillId="2" borderId="10" xfId="0" applyFill="1" applyBorder="1"/>
    <xf numFmtId="0" fontId="4" fillId="2" borderId="12" xfId="0" applyFont="1" applyFill="1" applyBorder="1" applyAlignment="1">
      <alignment vertical="center"/>
    </xf>
    <xf numFmtId="0" fontId="0" fillId="2" borderId="13" xfId="0" applyFill="1" applyBorder="1"/>
    <xf numFmtId="0" fontId="4" fillId="2" borderId="14" xfId="0" applyFont="1" applyFill="1" applyBorder="1" applyAlignment="1">
      <alignment vertical="center"/>
    </xf>
    <xf numFmtId="0" fontId="0" fillId="2" borderId="14" xfId="0" applyFill="1" applyBorder="1"/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7" fillId="2" borderId="0" xfId="0" applyFont="1" applyFill="1" applyAlignment="1">
      <alignment horizontal="center" vertical="center"/>
    </xf>
    <xf numFmtId="9" fontId="8" fillId="2" borderId="0" xfId="1" applyFont="1" applyFill="1" applyBorder="1" applyAlignment="1">
      <alignment horizontal="center" vertical="center"/>
    </xf>
    <xf numFmtId="9" fontId="8" fillId="2" borderId="0" xfId="1" applyFont="1" applyFill="1" applyBorder="1" applyAlignment="1">
      <alignment vertical="center"/>
    </xf>
    <xf numFmtId="0" fontId="9" fillId="2" borderId="0" xfId="0" applyFont="1" applyFill="1" applyAlignment="1">
      <alignment horizontal="center" vertical="center"/>
    </xf>
    <xf numFmtId="9" fontId="9" fillId="2" borderId="0" xfId="0" applyNumberFormat="1" applyFont="1" applyFill="1" applyAlignment="1">
      <alignment horizontal="center" vertical="center"/>
    </xf>
    <xf numFmtId="0" fontId="0" fillId="2" borderId="0" xfId="0" applyFill="1" applyAlignment="1">
      <alignment wrapText="1"/>
    </xf>
    <xf numFmtId="0" fontId="10" fillId="2" borderId="0" xfId="0" applyFont="1" applyFill="1" applyAlignment="1">
      <alignment horizontal="center" vertical="center"/>
    </xf>
    <xf numFmtId="9" fontId="10" fillId="2" borderId="0" xfId="0" applyNumberFormat="1" applyFont="1" applyFill="1" applyAlignment="1">
      <alignment horizontal="center" vertical="center"/>
    </xf>
    <xf numFmtId="9" fontId="11" fillId="2" borderId="0" xfId="1" applyFont="1" applyFill="1" applyBorder="1" applyAlignment="1">
      <alignment horizontal="center" vertical="center"/>
    </xf>
    <xf numFmtId="9" fontId="9" fillId="2" borderId="0" xfId="1" applyFont="1" applyFill="1" applyBorder="1" applyAlignment="1">
      <alignment horizontal="center" vertical="center"/>
    </xf>
    <xf numFmtId="0" fontId="9" fillId="2" borderId="0" xfId="1" applyNumberFormat="1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 wrapText="1"/>
    </xf>
    <xf numFmtId="0" fontId="14" fillId="2" borderId="0" xfId="0" applyFont="1" applyFill="1"/>
    <xf numFmtId="0" fontId="14" fillId="2" borderId="0" xfId="0" applyFont="1" applyFill="1" applyAlignment="1">
      <alignment wrapText="1"/>
    </xf>
    <xf numFmtId="0" fontId="15" fillId="2" borderId="0" xfId="0" applyFont="1" applyFill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3" fontId="9" fillId="2" borderId="0" xfId="1" applyNumberFormat="1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9" fontId="8" fillId="2" borderId="0" xfId="1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 wrapText="1"/>
    </xf>
    <xf numFmtId="9" fontId="11" fillId="2" borderId="0" xfId="1" applyFont="1" applyFill="1" applyBorder="1" applyAlignment="1">
      <alignment horizontal="center" vertical="center" wrapText="1"/>
    </xf>
    <xf numFmtId="0" fontId="0" fillId="0" borderId="0" xfId="0" applyNumberFormat="1"/>
    <xf numFmtId="14" fontId="0" fillId="0" borderId="4" xfId="0" applyNumberFormat="1" applyBorder="1" applyAlignment="1">
      <alignment horizontal="center" vertical="center" wrapText="1"/>
    </xf>
    <xf numFmtId="0" fontId="16" fillId="0" borderId="0" xfId="0" applyFont="1" applyAlignment="1">
      <alignment horizontal="justify" vertical="center"/>
    </xf>
    <xf numFmtId="14" fontId="0" fillId="0" borderId="7" xfId="0" applyNumberFormat="1" applyBorder="1" applyAlignment="1">
      <alignment horizontal="center" vertical="center" wrapText="1"/>
    </xf>
    <xf numFmtId="0" fontId="16" fillId="0" borderId="0" xfId="0" applyFont="1"/>
    <xf numFmtId="0" fontId="16" fillId="0" borderId="8" xfId="0" applyFont="1" applyBorder="1" applyAlignment="1">
      <alignment horizontal="center" vertical="center" wrapText="1"/>
    </xf>
  </cellXfs>
  <cellStyles count="2">
    <cellStyle name="Normal" xfId="0" builtinId="0"/>
    <cellStyle name="Porcentaje" xfId="1" builtinId="5"/>
  </cellStyles>
  <dxfs count="14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" formatCode="#,##0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" formatCode="#,##0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13" formatCode="0%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13" formatCode="0%"/>
    </dxf>
    <dxf>
      <numFmt numFmtId="0" formatCode="General"/>
    </dxf>
    <dxf>
      <numFmt numFmtId="13" formatCode="0%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13" formatCode="0%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13" formatCode="0%"/>
    </dxf>
    <dxf>
      <numFmt numFmtId="0" formatCode="General"/>
    </dxf>
    <dxf>
      <numFmt numFmtId="13" formatCode="0%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13" formatCode="0%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13" formatCode="0%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3" formatCode="0%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ptos Narrow"/>
        <family val="2"/>
        <scheme val="minor"/>
      </font>
      <fill>
        <patternFill patternType="none">
          <fgColor theme="0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/m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theme="0"/>
          </stop>
          <stop position="0.5">
            <color theme="3" tint="0.2509842219306009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theme="0"/>
          </stop>
          <stop position="0.5">
            <color theme="3" tint="0.2509842219306009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theme="0"/>
          </stop>
          <stop position="0.5">
            <color theme="3" tint="0.2509842219306009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theme="0"/>
          </stop>
          <stop position="0.5">
            <color theme="3" tint="0.2509842219306009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theme="0"/>
          </stop>
          <stop position="0.5">
            <color theme="3" tint="0.2509842219306009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theme="0"/>
          </stop>
          <stop position="0.5">
            <color theme="3" tint="0.2509842219306009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theme="0"/>
          </stop>
          <stop position="0.5">
            <color theme="3" tint="0.25098422193060094"/>
          </stop>
          <stop position="1">
            <color theme="0"/>
          </stop>
        </gradient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13" formatCode="0%"/>
    </dxf>
    <dxf>
      <numFmt numFmtId="3" formatCode="#,##0"/>
    </dxf>
    <dxf>
      <numFmt numFmtId="0" formatCode="General"/>
    </dxf>
    <dxf>
      <numFmt numFmtId="13" formatCode="0%"/>
    </dxf>
    <dxf>
      <numFmt numFmtId="13" formatCode="0%"/>
    </dxf>
    <dxf>
      <numFmt numFmtId="13" formatCode="0%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13" formatCode="0%"/>
    </dxf>
    <dxf>
      <numFmt numFmtId="0" formatCode="General"/>
    </dxf>
    <dxf>
      <numFmt numFmtId="0" formatCode="General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haredStrings" Target="sharedStrings.xml"/><Relationship Id="rId5" Type="http://schemas.microsoft.com/office/2007/relationships/slicerCache" Target="slicerCaches/slicerCache1.xml"/><Relationship Id="rId10" Type="http://schemas.openxmlformats.org/officeDocument/2006/relationships/styles" Target="styles.xml"/><Relationship Id="rId4" Type="http://schemas.openxmlformats.org/officeDocument/2006/relationships/pivotCacheDefinition" Target="pivotCache/pivotCacheDefinition1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[control.xlsm]DIN!TablaDinámica18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DIN!$A$4:$A$18</c:f>
              <c:strCache>
                <c:ptCount val="14"/>
                <c:pt idx="0">
                  <c:v>MISHEL JUSTINIANO AYLLON</c:v>
                </c:pt>
                <c:pt idx="1">
                  <c:v>MARIA GUADALUPE FLORES MALDONADO</c:v>
                </c:pt>
                <c:pt idx="2">
                  <c:v>KATIA CHOQUEHUANCA QUISPE</c:v>
                </c:pt>
                <c:pt idx="3">
                  <c:v>FRANK ANDRES BEJARANO TEJADA</c:v>
                </c:pt>
                <c:pt idx="4">
                  <c:v>ERICK YASID SEGALES CHACON</c:v>
                </c:pt>
                <c:pt idx="5">
                  <c:v>DILAN RAMIRO MARCA RIOS</c:v>
                </c:pt>
                <c:pt idx="6">
                  <c:v>JUAN GABRIEL SORIA MONTAÑO</c:v>
                </c:pt>
                <c:pt idx="7">
                  <c:v>CINTHIA HUANACO HUAJLLIRI</c:v>
                </c:pt>
                <c:pt idx="8">
                  <c:v>LIZBETH MAGALY HEREDIA SANGA</c:v>
                </c:pt>
                <c:pt idx="9">
                  <c:v>CRISTIAN ALEJANDRO NINA ARIAS</c:v>
                </c:pt>
                <c:pt idx="10">
                  <c:v>DIANA ADUVIRI CONDORI</c:v>
                </c:pt>
                <c:pt idx="11">
                  <c:v>RAMIRO JHOEL MARTINEZ APAZA</c:v>
                </c:pt>
                <c:pt idx="12">
                  <c:v>STEFANY NORAH CHUQUIMIA QUICAÑA</c:v>
                </c:pt>
                <c:pt idx="13">
                  <c:v>JONATHAN GONZALES TICONA </c:v>
                </c:pt>
              </c:strCache>
            </c:strRef>
          </c:cat>
          <c:val>
            <c:numRef>
              <c:f>DIN!$B$4:$B$18</c:f>
              <c:numCache>
                <c:formatCode>0%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0.9835158076024112</c:v>
                </c:pt>
                <c:pt idx="9">
                  <c:v>0.98057432432432434</c:v>
                </c:pt>
                <c:pt idx="10">
                  <c:v>0.96306985195874095</c:v>
                </c:pt>
                <c:pt idx="11">
                  <c:v>0.86209591414033548</c:v>
                </c:pt>
                <c:pt idx="12">
                  <c:v>0.84854368932038837</c:v>
                </c:pt>
                <c:pt idx="13">
                  <c:v>0.82493765586034906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1-4616-9B9C-23B0D77F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8760640"/>
        <c:axId val="608763040"/>
      </c:lineChart>
      <c:catAx>
        <c:axId val="60876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608763040"/>
        <c:crosses val="autoZero"/>
        <c:auto val="1"/>
        <c:lblAlgn val="ctr"/>
        <c:lblOffset val="100"/>
        <c:noMultiLvlLbl val="0"/>
      </c:catAx>
      <c:valAx>
        <c:axId val="608763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60876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[control.xlsm]DIN!TablaDinámica18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CUADRO</a:t>
            </a:r>
            <a:r>
              <a:rPr lang="en-US" baseline="0"/>
              <a:t> COMPARATIVO DE AVANCE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3"/>
            </a:outerShdw>
          </a:effectLst>
        </c:spPr>
        <c:marker>
          <c:symbol val="circle"/>
          <c:size val="14"/>
          <c:spPr>
            <a:solidFill>
              <a:schemeClr val="accent3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196B2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DIN!$B$3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3"/>
              </a:outerShdw>
            </a:effectLst>
          </c:spPr>
          <c:marker>
            <c:symbol val="circle"/>
            <c:size val="14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solidFill>
                <a:srgbClr val="196B24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3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DIN!$A$4:$A$18</c:f>
              <c:strCache>
                <c:ptCount val="14"/>
                <c:pt idx="0">
                  <c:v>MISHEL JUSTINIANO AYLLON</c:v>
                </c:pt>
                <c:pt idx="1">
                  <c:v>MARIA GUADALUPE FLORES MALDONADO</c:v>
                </c:pt>
                <c:pt idx="2">
                  <c:v>KATIA CHOQUEHUANCA QUISPE</c:v>
                </c:pt>
                <c:pt idx="3">
                  <c:v>FRANK ANDRES BEJARANO TEJADA</c:v>
                </c:pt>
                <c:pt idx="4">
                  <c:v>ERICK YASID SEGALES CHACON</c:v>
                </c:pt>
                <c:pt idx="5">
                  <c:v>DILAN RAMIRO MARCA RIOS</c:v>
                </c:pt>
                <c:pt idx="6">
                  <c:v>JUAN GABRIEL SORIA MONTAÑO</c:v>
                </c:pt>
                <c:pt idx="7">
                  <c:v>CINTHIA HUANACO HUAJLLIRI</c:v>
                </c:pt>
                <c:pt idx="8">
                  <c:v>LIZBETH MAGALY HEREDIA SANGA</c:v>
                </c:pt>
                <c:pt idx="9">
                  <c:v>CRISTIAN ALEJANDRO NINA ARIAS</c:v>
                </c:pt>
                <c:pt idx="10">
                  <c:v>DIANA ADUVIRI CONDORI</c:v>
                </c:pt>
                <c:pt idx="11">
                  <c:v>RAMIRO JHOEL MARTINEZ APAZA</c:v>
                </c:pt>
                <c:pt idx="12">
                  <c:v>STEFANY NORAH CHUQUIMIA QUICAÑA</c:v>
                </c:pt>
                <c:pt idx="13">
                  <c:v>JONATHAN GONZALES TICONA </c:v>
                </c:pt>
              </c:strCache>
            </c:strRef>
          </c:cat>
          <c:val>
            <c:numRef>
              <c:f>DIN!$B$4:$B$18</c:f>
              <c:numCache>
                <c:formatCode>0%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0.9835158076024112</c:v>
                </c:pt>
                <c:pt idx="9">
                  <c:v>0.98057432432432434</c:v>
                </c:pt>
                <c:pt idx="10">
                  <c:v>0.96306985195874095</c:v>
                </c:pt>
                <c:pt idx="11">
                  <c:v>0.86209591414033548</c:v>
                </c:pt>
                <c:pt idx="12">
                  <c:v>0.84854368932038837</c:v>
                </c:pt>
                <c:pt idx="13">
                  <c:v>0.82493765586034906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A8-42E2-B316-127D0C5AD10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608760640"/>
        <c:axId val="608763040"/>
      </c:lineChart>
      <c:catAx>
        <c:axId val="60876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608763040"/>
        <c:crosses val="autoZero"/>
        <c:auto val="1"/>
        <c:lblAlgn val="ctr"/>
        <c:lblOffset val="100"/>
        <c:noMultiLvlLbl val="0"/>
      </c:catAx>
      <c:valAx>
        <c:axId val="608763040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608760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666750</xdr:colOff>
      <xdr:row>17</xdr:row>
      <xdr:rowOff>42862</xdr:rowOff>
    </xdr:from>
    <xdr:to>
      <xdr:col>16</xdr:col>
      <xdr:colOff>666750</xdr:colOff>
      <xdr:row>31</xdr:row>
      <xdr:rowOff>119062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4FBD498-0F3F-EA9B-B3AB-9A39826DD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266700</xdr:colOff>
      <xdr:row>2</xdr:row>
      <xdr:rowOff>161925</xdr:rowOff>
    </xdr:from>
    <xdr:to>
      <xdr:col>6</xdr:col>
      <xdr:colOff>571500</xdr:colOff>
      <xdr:row>16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TÉCNICO">
              <a:extLst>
                <a:ext uri="{FF2B5EF4-FFF2-40B4-BE49-F238E27FC236}">
                  <a16:creationId xmlns:a16="http://schemas.microsoft.com/office/drawing/2014/main" id="{6000DA7A-6947-EADD-3C0E-F49E4C2737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ÉCNI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48200" y="54292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219075</xdr:colOff>
      <xdr:row>2</xdr:row>
      <xdr:rowOff>104775</xdr:rowOff>
    </xdr:from>
    <xdr:to>
      <xdr:col>10</xdr:col>
      <xdr:colOff>523875</xdr:colOff>
      <xdr:row>16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EPARTAMENTOS">
              <a:extLst>
                <a:ext uri="{FF2B5EF4-FFF2-40B4-BE49-F238E27FC236}">
                  <a16:creationId xmlns:a16="http://schemas.microsoft.com/office/drawing/2014/main" id="{9FC1FBD9-9F3B-9DD7-293B-99E7CE1E111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AMENT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8575" y="48577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57150</xdr:colOff>
      <xdr:row>3</xdr:row>
      <xdr:rowOff>66675</xdr:rowOff>
    </xdr:from>
    <xdr:to>
      <xdr:col>14</xdr:col>
      <xdr:colOff>361950</xdr:colOff>
      <xdr:row>17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UNICIPIOS">
              <a:extLst>
                <a:ext uri="{FF2B5EF4-FFF2-40B4-BE49-F238E27FC236}">
                  <a16:creationId xmlns:a16="http://schemas.microsoft.com/office/drawing/2014/main" id="{3D6D0B18-4034-C3EA-C819-3F896D1FE46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34650" y="63817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114300</xdr:colOff>
      <xdr:row>19</xdr:row>
      <xdr:rowOff>66675</xdr:rowOff>
    </xdr:from>
    <xdr:to>
      <xdr:col>10</xdr:col>
      <xdr:colOff>400050</xdr:colOff>
      <xdr:row>26</xdr:row>
      <xdr:rowOff>104775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6" name="FECHA">
              <a:extLst>
                <a:ext uri="{FF2B5EF4-FFF2-40B4-BE49-F238E27FC236}">
                  <a16:creationId xmlns:a16="http://schemas.microsoft.com/office/drawing/2014/main" id="{FF20730B-89F3-DC41-AE33-F77824D0D58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19800" y="368617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176892</xdr:colOff>
      <xdr:row>17</xdr:row>
      <xdr:rowOff>84365</xdr:rowOff>
    </xdr:from>
    <xdr:to>
      <xdr:col>18</xdr:col>
      <xdr:colOff>496918</xdr:colOff>
      <xdr:row>28</xdr:row>
      <xdr:rowOff>85115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TÉCNICO 1">
              <a:extLst>
                <a:ext uri="{FF2B5EF4-FFF2-40B4-BE49-F238E27FC236}">
                  <a16:creationId xmlns:a16="http://schemas.microsoft.com/office/drawing/2014/main" id="{0070C851-30A5-4415-8B0A-30A9F2EAF1C5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ÉCNIC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49705" y="3275240"/>
              <a:ext cx="3368026" cy="16080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142875</xdr:colOff>
      <xdr:row>12</xdr:row>
      <xdr:rowOff>0</xdr:rowOff>
    </xdr:from>
    <xdr:to>
      <xdr:col>18</xdr:col>
      <xdr:colOff>462644</xdr:colOff>
      <xdr:row>15</xdr:row>
      <xdr:rowOff>122464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EPARTAMENTOS 1">
              <a:extLst>
                <a:ext uri="{FF2B5EF4-FFF2-40B4-BE49-F238E27FC236}">
                  <a16:creationId xmlns:a16="http://schemas.microsoft.com/office/drawing/2014/main" id="{8FAAD6DB-FFC6-43DB-AD0A-C95F58409EA5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AMENTO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50" y="2238375"/>
              <a:ext cx="11440207" cy="7296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204857</xdr:colOff>
      <xdr:row>17</xdr:row>
      <xdr:rowOff>92465</xdr:rowOff>
    </xdr:from>
    <xdr:to>
      <xdr:col>14</xdr:col>
      <xdr:colOff>116036</xdr:colOff>
      <xdr:row>29</xdr:row>
      <xdr:rowOff>118715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UNICIPIOS 1">
              <a:extLst>
                <a:ext uri="{FF2B5EF4-FFF2-40B4-BE49-F238E27FC236}">
                  <a16:creationId xmlns:a16="http://schemas.microsoft.com/office/drawing/2014/main" id="{922D982C-6913-4F08-8209-F867C2C017A5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3951" y="3283340"/>
              <a:ext cx="10614898" cy="18240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228600</xdr:colOff>
      <xdr:row>4</xdr:row>
      <xdr:rowOff>2722</xdr:rowOff>
    </xdr:from>
    <xdr:to>
      <xdr:col>22</xdr:col>
      <xdr:colOff>22110</xdr:colOff>
      <xdr:row>10</xdr:row>
      <xdr:rowOff>136072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6" name="FECHA 1">
              <a:extLst>
                <a:ext uri="{FF2B5EF4-FFF2-40B4-BE49-F238E27FC236}">
                  <a16:creationId xmlns:a16="http://schemas.microsoft.com/office/drawing/2014/main" id="{0D614150-C8A8-41C2-BA0D-BB7E8DBBA7C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7694" y="776628"/>
              <a:ext cx="18402979" cy="1276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13</xdr:col>
      <xdr:colOff>190499</xdr:colOff>
      <xdr:row>29</xdr:row>
      <xdr:rowOff>95249</xdr:rowOff>
    </xdr:from>
    <xdr:to>
      <xdr:col>23</xdr:col>
      <xdr:colOff>258534</xdr:colOff>
      <xdr:row>44</xdr:row>
      <xdr:rowOff>166686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DB3FC86-A57A-492D-9DE9-A338568EB5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cente D. Rivera Thola" refreshedDate="45842.379682175924" createdVersion="8" refreshedVersion="8" minRefreshableVersion="3" recordCount="108" xr:uid="{84174AC3-1FDC-4F8D-BD50-2BC882DF68AB}">
  <cacheSource type="worksheet">
    <worksheetSource name="Tabla1"/>
  </cacheSource>
  <cacheFields count="19">
    <cacheField name="FECHA" numFmtId="14">
      <sharedItems containsSemiMixedTypes="0" containsNonDate="0" containsDate="1" containsString="0" minDate="2007-06-05T00:00:00" maxDate="2025-07-01T00:00:00" count="19">
        <d v="2025-06-24T00:00:00"/>
        <d v="2025-06-25T00:00:00"/>
        <d v="2025-06-26T00:00:00"/>
        <d v="2025-06-27T00:00:00"/>
        <d v="2025-06-02T00:00:00"/>
        <d v="2025-06-03T00:00:00"/>
        <d v="2025-06-04T00:00:00"/>
        <d v="2007-06-05T00:00:00"/>
        <d v="2025-06-06T00:00:00"/>
        <d v="2025-06-09T00:00:00"/>
        <d v="2025-06-11T00:00:00"/>
        <d v="2025-06-12T00:00:00"/>
        <d v="2025-06-13T00:00:00"/>
        <d v="2025-06-14T00:00:00"/>
        <d v="2025-06-18T00:00:00"/>
        <d v="2025-06-19T00:00:00"/>
        <d v="2025-06-20T00:00:00"/>
        <d v="2025-06-23T00:00:00"/>
        <d v="2025-06-30T00:00:00"/>
      </sharedItems>
    </cacheField>
    <cacheField name="FECHA FIN" numFmtId="14">
      <sharedItems containsNonDate="0" containsDate="1" containsString="0" containsBlank="1" minDate="2025-03-30T00:00:00" maxDate="2025-07-01T00:00:00"/>
    </cacheField>
    <cacheField name="SUPERVISOR" numFmtId="14">
      <sharedItems/>
    </cacheField>
    <cacheField name="TÉCNICO" numFmtId="0">
      <sharedItems containsBlank="1" count="23">
        <s v="CINTHIA HUANACO HUAJLLIRI"/>
        <s v="FRANK ANDRES BEJARANO TEJADA"/>
        <s v="RAMIRO JHOEL MARTINEZ APAZA"/>
        <s v="DIANA ADUVIRI CONDORI"/>
        <s v="CRISTIAN ALEJANDRO NINA ARIAS"/>
        <s v="DILAN RAMIRO MARCA RIOS"/>
        <s v="JONATHAN GONZALES TICONA "/>
        <s v="STEFANY NORAH CHUQUIMIA QUICAÑA"/>
        <s v="KATIA CHOQUEHUANCA QUISPE"/>
        <s v="MARIA GUADALUPE FLORES MALDONADO"/>
        <s v="LIZBETH MAGALY HEREDIA SANGA"/>
        <s v="ERICK YASID SEGALES CHACON"/>
        <s v="MISHEL JUSTINIANO AYLLON"/>
        <s v="JUAN GABRIEL SORIA MONTAÑO"/>
        <s v="LIZBETH HEREDIA" u="1"/>
        <s v="GUADALUPE FLORES" u="1"/>
        <s v="DIANA ADUVIRI" u="1"/>
        <s v="STEFANY CHUQUIMIA" u="1"/>
        <s v="GABRIEL SORIA" u="1"/>
        <s v="FRANK BEJARANO" u="1"/>
        <s v="RAMIRO MARTINEZ" u="1"/>
        <s v="JONATHAN GONZALES" u="1"/>
        <m u="1"/>
      </sharedItems>
    </cacheField>
    <cacheField name="DEPARTAMENTOS" numFmtId="0">
      <sharedItems containsBlank="1" count="8">
        <s v="SANTA CRUZ"/>
        <s v="ORURO"/>
        <m/>
        <s v="LA PAZ"/>
        <s v="TAREAS"/>
        <s v="TARIJA"/>
        <s v="CHUQUISACA"/>
        <s v="POTOSI" u="1"/>
      </sharedItems>
    </cacheField>
    <cacheField name="MUNICIPIOS" numFmtId="0">
      <sharedItems containsBlank="1" count="86">
        <s v="PORONGO"/>
        <s v="ANDAMARCA"/>
        <m/>
        <s v="SAN IGNACIO"/>
        <s v="CUATRO CAÑADAS"/>
        <s v="ROBORE"/>
        <s v="SAN JULIAN"/>
        <s v="CHARAGUA"/>
        <s v="IXIAMAS"/>
        <s v="TAREAS"/>
        <s v="DESAGUADERO"/>
        <s v="LA ASUNTA"/>
        <s v="SAN BUENAVENTURA"/>
        <s v="TACACOMA"/>
        <s v="TARACO"/>
        <s v="VILLA ANCORAIMES"/>
        <s v="COLPA BELGICA"/>
        <s v="SAN ANTONIO DE LOMERIO"/>
        <s v="EL PUENTE"/>
        <s v="COMARAPA"/>
        <s v="MORO MORO"/>
        <s v="MINEROS"/>
        <s v="VILLA EL CARMEN RIVERO TORREZ"/>
        <s v="VALLE GRANDE"/>
        <s v="GUTIERREZ"/>
        <s v="ANTEQUERA"/>
        <s v="EL TORNO"/>
        <s v="BELEN DE ANDA MARCA"/>
        <s v="CAMIRI"/>
        <s v="COTOCA"/>
        <s v="SAN JAVIER"/>
        <s v="CARACOLLO"/>
        <s v="LAGUNILLAS"/>
        <s v="SAN CARLOS"/>
        <s v="PAILON"/>
        <s v="PORTACHUELO"/>
        <s v="BOYUIBE"/>
        <s v="SAN RAMON"/>
        <s v="SAN PEDRO  "/>
        <s v="SAN MATIAS"/>
        <s v="QUIRUSILLAS"/>
        <s v="GENERAL SAAVEDRA"/>
        <s v="URIONDO"/>
        <s v="VILLA VACA GUZMAN"/>
        <s v="ASCENSION DE GUARAYOS"/>
        <s v="SAN JOSE"/>
        <s v="PUNA" u="1"/>
        <s v="PALOS BLANCOS" u="1"/>
        <s v="SANTIAGO DE HUATA" u="1"/>
        <s v="COLQUIRI" u="1"/>
        <s v="EL ALTO" u="1"/>
        <s v="GUANAY" u="1"/>
        <s v="LA MARCA SAN ANDRES DE MACHACA" u="1"/>
        <s v="LURIBAY" u="1"/>
        <s v="NAZACARA DE PACAJES" u="1"/>
        <s v="PUERTO PEREZ" u="1"/>
        <s v="QUIABAYA" u="1"/>
        <s v="TIPUANI" u="1"/>
        <s v="TITO YUPANQUI" u="1"/>
        <s v="UMALA" u="1"/>
        <s v="SANTIAGO DE MACHACA" u="1"/>
        <s v="SICA SICA" u="1"/>
        <s v="MAPIRI" u="1"/>
        <s v="MECAPACA" u="1"/>
        <s v="QUIME" u="1"/>
        <s v="SAN PEDRO DE CURAHUARA" u="1"/>
        <s v="SANTIAGO DE CALLAPA" u="1"/>
        <s v="SORATA" u="1"/>
        <s v="PUERTO ACOSTA" u="1"/>
        <s v="PUERTO MAYOR DE CARABUCO" u="1"/>
        <s v="PUERTO MAYOR DE GUAQUI" u="1"/>
        <s v="JESUS DE MACHAKA" u="1"/>
        <s v="YANACACHI" u="1"/>
        <s v="COMBAYA" u="1"/>
        <s v="COPACABANA" u="1"/>
        <s v="COROICO" u="1"/>
        <s v="LAJA" u="1"/>
        <s v="PUCARANI" u="1"/>
        <s v="TIQUINA" u="1"/>
        <s v="APOYO A LA ELABROACION DE PRESENTACION MARCO MULTIPLE" u="1"/>
        <s v="APOYO EN LAMINAS PARA EL GEOPORTAL PARA AREAS PROTEGIDAS" u="1"/>
        <s v="APOYO EN LA PRESENTACION DE AREAS PROTEGIDAS" u="1"/>
        <s v="APOYO EN EL EMPAREJAMIENTO DEL MARCO MULTIPLE" u="1"/>
        <s v="INVESTIGACION DEL MARCO MULTIPLE" u="1"/>
        <s v="ADECUACION DE LA PRESETNACION DEL MARCO MULTIPLE SINTETIZACION" u="1"/>
        <s v="APOYO A LA IDENTIFICACION DE PUNTOS DE LUMINIDAD DE LAS COMUNIDADES A NIVEL NACIONAL" u="1"/>
      </sharedItems>
    </cacheField>
    <cacheField name="TAREAS  " numFmtId="0">
      <sharedItems count="6">
        <s v="LIMPIEZA DE INFORMACIÓN"/>
        <s v="CONFORMACIÓN DE ABAS"/>
        <s v="TAREAS EXTRAS"/>
        <s v="CONFORMACION DE ABAs"/>
        <s v="CONFORMACION DE AGS" u="1"/>
        <s v="CONFORMACIÓN DE AES" u="1"/>
      </sharedItems>
    </cacheField>
    <cacheField name="DESCRIPCION" numFmtId="0">
      <sharedItems containsBlank="1"/>
    </cacheField>
    <cacheField name="GRADO DE DIFICULTAD" numFmtId="0">
      <sharedItems/>
    </cacheField>
    <cacheField name="CARGA TOTAL" numFmtId="0">
      <sharedItems containsSemiMixedTypes="0" containsString="0" containsNumber="1" containsInteger="1" minValue="1" maxValue="7822"/>
    </cacheField>
    <cacheField name="CARGA DE AVANCE 1" numFmtId="0">
      <sharedItems containsSemiMixedTypes="0" containsString="0" containsNumber="1" containsInteger="1" minValue="1" maxValue="3432"/>
    </cacheField>
    <cacheField name="CARGA DE AVANCE 2" numFmtId="0">
      <sharedItems containsString="0" containsBlank="1" containsNumber="1" containsInteger="1" minValue="3" maxValue="1205"/>
    </cacheField>
    <cacheField name="CARGA DE AVANCE 3" numFmtId="0">
      <sharedItems containsString="0" containsBlank="1" containsNumber="1" containsInteger="1" minValue="20" maxValue="2000"/>
    </cacheField>
    <cacheField name="CARGA DE AVANCE 4" numFmtId="0">
      <sharedItems containsString="0" containsBlank="1" containsNumber="1" containsInteger="1" minValue="29" maxValue="1085"/>
    </cacheField>
    <cacheField name="CARGA DE AVANCE 5" numFmtId="0">
      <sharedItems containsString="0" containsBlank="1" containsNumber="1" containsInteger="1" minValue="100" maxValue="800"/>
    </cacheField>
    <cacheField name="CARGA DE AVANCE 6" numFmtId="0">
      <sharedItems containsString="0" containsBlank="1" containsNumber="1" containsInteger="1" minValue="673" maxValue="673"/>
    </cacheField>
    <cacheField name="CARGA DE AVANCE TOTAL" numFmtId="3">
      <sharedItems containsSemiMixedTypes="0" containsString="0" containsNumber="1" containsInteger="1" minValue="1" maxValue="7822"/>
    </cacheField>
    <cacheField name="% AVANCE" numFmtId="9">
      <sharedItems containsSemiMixedTypes="0" containsString="0" containsNumber="1" minValue="7.1780821917808213E-2" maxValue="1"/>
    </cacheField>
    <cacheField name="ESTADO" numFmtId="0">
      <sharedItems/>
    </cacheField>
  </cacheFields>
  <extLst>
    <ext xmlns:x14="http://schemas.microsoft.com/office/spreadsheetml/2009/9/main" uri="{725AE2AE-9491-48be-B2B4-4EB974FC3084}">
      <x14:pivotCacheDefinition pivotCacheId="146421154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">
  <r>
    <x v="0"/>
    <d v="2025-06-24T00:00:00"/>
    <s v="RONALD RODRIGO MEDRANO SALAS"/>
    <x v="0"/>
    <x v="0"/>
    <x v="0"/>
    <x v="0"/>
    <m/>
    <s v="MEDIO"/>
    <n v="1326"/>
    <n v="1326"/>
    <m/>
    <m/>
    <m/>
    <m/>
    <m/>
    <n v="1326"/>
    <n v="1"/>
    <s v="FINALIZADO"/>
  </r>
  <r>
    <x v="0"/>
    <d v="2025-06-27T00:00:00"/>
    <s v="RONALD RODRIGO MEDRANO SALAS"/>
    <x v="1"/>
    <x v="1"/>
    <x v="1"/>
    <x v="1"/>
    <m/>
    <s v="MEDIO"/>
    <n v="72"/>
    <n v="13"/>
    <n v="10"/>
    <n v="20"/>
    <n v="29"/>
    <m/>
    <m/>
    <n v="72"/>
    <n v="1"/>
    <s v="FINALIZADO"/>
  </r>
  <r>
    <x v="0"/>
    <d v="2025-06-24T00:00:00"/>
    <s v="RONALD RODRIGO MEDRANO SALAS"/>
    <x v="2"/>
    <x v="2"/>
    <x v="2"/>
    <x v="2"/>
    <s v="REALIZACIÓN DE PRESENTACIÓN (TEMATICA)"/>
    <s v="DIFICIL"/>
    <n v="10"/>
    <n v="10"/>
    <m/>
    <m/>
    <m/>
    <m/>
    <m/>
    <n v="10"/>
    <n v="1"/>
    <s v="FINALIZADO"/>
  </r>
  <r>
    <x v="0"/>
    <d v="2025-06-24T00:00:00"/>
    <s v="RONALD RODRIGO MEDRANO SALAS"/>
    <x v="2"/>
    <x v="0"/>
    <x v="3"/>
    <x v="0"/>
    <m/>
    <s v="DIFICIL"/>
    <n v="1796"/>
    <n v="1234"/>
    <m/>
    <m/>
    <m/>
    <m/>
    <m/>
    <n v="1234"/>
    <n v="0.68708240534521159"/>
    <s v="CUIDADO"/>
  </r>
  <r>
    <x v="0"/>
    <d v="2025-06-25T00:00:00"/>
    <s v="RONALD RODRIGO MEDRANO SALAS"/>
    <x v="0"/>
    <x v="0"/>
    <x v="4"/>
    <x v="0"/>
    <m/>
    <s v="MEDIO"/>
    <n v="660"/>
    <n v="168"/>
    <n v="492"/>
    <m/>
    <m/>
    <m/>
    <m/>
    <n v="660"/>
    <n v="1"/>
    <s v="FINALIZADO"/>
  </r>
  <r>
    <x v="1"/>
    <d v="2025-06-25T00:00:00"/>
    <s v="RONALD RODRIGO MEDRANO SALAS"/>
    <x v="2"/>
    <x v="2"/>
    <x v="2"/>
    <x v="2"/>
    <s v="LIMPIEZA  INRA PARCELADO DEL MUNICIPIO DE HUATAJATA"/>
    <s v="DIFICIL"/>
    <n v="10"/>
    <n v="10"/>
    <m/>
    <m/>
    <m/>
    <m/>
    <m/>
    <n v="10"/>
    <n v="1"/>
    <s v="FINALIZADO"/>
  </r>
  <r>
    <x v="1"/>
    <d v="2025-06-25T00:00:00"/>
    <s v="RONALD RODRIGO MEDRANO SALAS"/>
    <x v="2"/>
    <x v="2"/>
    <x v="2"/>
    <x v="2"/>
    <s v="REALIZACION DE LA PRESENTACION DE LA UNIDAD DE CARTOGRAFIA"/>
    <s v="DIFICIL"/>
    <n v="10"/>
    <n v="10"/>
    <m/>
    <m/>
    <m/>
    <m/>
    <m/>
    <n v="10"/>
    <n v="1"/>
    <s v="FINALIZADO"/>
  </r>
  <r>
    <x v="1"/>
    <d v="2025-06-27T00:00:00"/>
    <s v="RONALD RODRIGO MEDRANO SALAS"/>
    <x v="0"/>
    <x v="0"/>
    <x v="5"/>
    <x v="0"/>
    <m/>
    <s v="MEDIO"/>
    <n v="1336"/>
    <n v="168"/>
    <n v="320"/>
    <n v="848"/>
    <m/>
    <m/>
    <m/>
    <n v="1336"/>
    <n v="1"/>
    <s v="FINALIZADO"/>
  </r>
  <r>
    <x v="1"/>
    <d v="2025-06-25T00:00:00"/>
    <s v="RONALD RODRIGO MEDRANO SALAS"/>
    <x v="0"/>
    <x v="2"/>
    <x v="2"/>
    <x v="2"/>
    <s v="DE CRITERIOS PARA CONSIDERAR ÁREAS MIXTAS PARA LOS MUNICIPIOS DEL CENSO EXPERIMENTAL"/>
    <s v="DIFICIL"/>
    <n v="10"/>
    <n v="10"/>
    <m/>
    <m/>
    <m/>
    <m/>
    <m/>
    <n v="10"/>
    <n v="1"/>
    <s v="FINALIZADO"/>
  </r>
  <r>
    <x v="2"/>
    <d v="2025-06-26T00:00:00"/>
    <s v="RONALD RODRIGO MEDRANO SALAS"/>
    <x v="1"/>
    <x v="2"/>
    <x v="2"/>
    <x v="2"/>
    <s v="LIMPIEZA  INRA PARCELADO DEL MUNICIPIO DE VILLA VACA GUZMAN"/>
    <s v="DIFICIL"/>
    <n v="10"/>
    <n v="10"/>
    <m/>
    <m/>
    <m/>
    <m/>
    <m/>
    <n v="10"/>
    <n v="1"/>
    <s v="FINALIZADO"/>
  </r>
  <r>
    <x v="2"/>
    <d v="2025-06-26T00:00:00"/>
    <s v="RONALD RODRIGO MEDRANO SALAS"/>
    <x v="1"/>
    <x v="2"/>
    <x v="2"/>
    <x v="2"/>
    <s v="REVISION DE EMPAREJAMIENTO DE LA COBERTURA CA_PUNTOS_UPAS"/>
    <s v="DIFICIL"/>
    <n v="10"/>
    <n v="10"/>
    <m/>
    <m/>
    <m/>
    <m/>
    <m/>
    <n v="10"/>
    <n v="1"/>
    <s v="FINALIZADO"/>
  </r>
  <r>
    <x v="2"/>
    <d v="2025-06-26T00:00:00"/>
    <s v="RONALD RODRIGO MEDRANO SALAS"/>
    <x v="2"/>
    <x v="2"/>
    <x v="2"/>
    <x v="2"/>
    <s v="REALIZACION DE LA PRESENTACION DE LA UNIDAD DE CARTOGRAFIA"/>
    <s v="DIFICIL"/>
    <n v="10"/>
    <n v="10"/>
    <m/>
    <m/>
    <m/>
    <m/>
    <m/>
    <n v="10"/>
    <n v="1"/>
    <s v="FINALIZADO"/>
  </r>
  <r>
    <x v="2"/>
    <d v="2025-06-26T00:00:00"/>
    <s v="RONALD RODRIGO MEDRANO SALAS"/>
    <x v="2"/>
    <x v="2"/>
    <x v="2"/>
    <x v="2"/>
    <s v="LIMPIEZA DE POLIGONOS INRA PARCELADO DEL MUNICIPIO DE CARANAVI"/>
    <s v="DIFICIL"/>
    <n v="10"/>
    <n v="10"/>
    <m/>
    <m/>
    <m/>
    <m/>
    <m/>
    <n v="10"/>
    <n v="1"/>
    <s v="FINALIZADO"/>
  </r>
  <r>
    <x v="2"/>
    <d v="2025-06-26T00:00:00"/>
    <s v="RONALD RODRIGO MEDRANO SALAS"/>
    <x v="2"/>
    <x v="2"/>
    <x v="2"/>
    <x v="2"/>
    <s v="REVISION DE EMPAREJAMIENTO DE LA COBERTURA CA_PUNTOS_UPAS"/>
    <s v="DIFICIL"/>
    <n v="10"/>
    <n v="10"/>
    <m/>
    <m/>
    <m/>
    <m/>
    <m/>
    <n v="10"/>
    <n v="1"/>
    <s v="FINALIZADO"/>
  </r>
  <r>
    <x v="2"/>
    <d v="2025-06-26T00:00:00"/>
    <s v="RONALD RODRIGO MEDRANO SALAS"/>
    <x v="0"/>
    <x v="2"/>
    <x v="2"/>
    <x v="2"/>
    <s v="LIMPIEZA DE POLIGONOS INRA PARCELADO DEL MUNICIPIO DE CARANAVI"/>
    <s v="DIFICIL"/>
    <n v="10"/>
    <n v="10"/>
    <m/>
    <m/>
    <m/>
    <m/>
    <m/>
    <n v="10"/>
    <n v="1"/>
    <s v="FINALIZADO"/>
  </r>
  <r>
    <x v="2"/>
    <d v="2025-06-26T00:00:00"/>
    <s v="RONALD RODRIGO MEDRANO SALAS"/>
    <x v="0"/>
    <x v="2"/>
    <x v="2"/>
    <x v="2"/>
    <s v="REVISION DE EMPAREJAMIENTO DE LA COBERTURA CA_PUNTOS_UPAS"/>
    <s v="DIFICIL"/>
    <n v="10"/>
    <n v="10"/>
    <m/>
    <m/>
    <m/>
    <m/>
    <m/>
    <n v="10"/>
    <n v="1"/>
    <s v="FINALIZADO"/>
  </r>
  <r>
    <x v="3"/>
    <m/>
    <s v="RONALD RODRIGO MEDRANO SALAS"/>
    <x v="2"/>
    <x v="0"/>
    <x v="6"/>
    <x v="0"/>
    <m/>
    <s v="MEDIO"/>
    <n v="1825"/>
    <n v="131"/>
    <m/>
    <m/>
    <m/>
    <m/>
    <m/>
    <n v="131"/>
    <n v="7.1780821917808213E-2"/>
    <s v="OBSERVADO"/>
  </r>
  <r>
    <x v="3"/>
    <d v="2025-06-27T00:00:00"/>
    <s v="RONALD RODRIGO MEDRANO SALAS"/>
    <x v="2"/>
    <x v="2"/>
    <x v="2"/>
    <x v="2"/>
    <s v="LIMPIEZA DE POLIGONOS INRA PARCELADO DEL MUNICIPIO DE URIONDO"/>
    <s v="DIFICIL"/>
    <n v="10"/>
    <n v="10"/>
    <m/>
    <m/>
    <m/>
    <m/>
    <m/>
    <n v="10"/>
    <n v="1"/>
    <s v="FINALIZADO"/>
  </r>
  <r>
    <x v="3"/>
    <m/>
    <s v="RONALD RODRIGO MEDRANO SALAS"/>
    <x v="0"/>
    <x v="0"/>
    <x v="7"/>
    <x v="0"/>
    <m/>
    <s v="MEDIO"/>
    <n v="767"/>
    <n v="767"/>
    <m/>
    <m/>
    <m/>
    <m/>
    <m/>
    <n v="767"/>
    <n v="1"/>
    <s v="FINALIZADO"/>
  </r>
  <r>
    <x v="4"/>
    <d v="2025-06-02T00:00:00"/>
    <s v="JOSE LUIS QUISPE UCEDO"/>
    <x v="3"/>
    <x v="3"/>
    <x v="8"/>
    <x v="0"/>
    <m/>
    <s v="DIFICIL"/>
    <n v="721"/>
    <n v="721"/>
    <m/>
    <m/>
    <m/>
    <m/>
    <m/>
    <n v="721"/>
    <n v="1"/>
    <s v="FINALIZADO"/>
  </r>
  <r>
    <x v="5"/>
    <d v="2025-06-04T00:00:00"/>
    <s v="JOSE LUIS QUISPE UCEDO"/>
    <x v="3"/>
    <x v="4"/>
    <x v="9"/>
    <x v="2"/>
    <m/>
    <s v="DIFICIL"/>
    <n v="10"/>
    <n v="7"/>
    <n v="3"/>
    <m/>
    <m/>
    <m/>
    <m/>
    <n v="10"/>
    <n v="1"/>
    <s v="FINALIZADO"/>
  </r>
  <r>
    <x v="6"/>
    <d v="2025-06-04T00:00:00"/>
    <s v="JOSE LUIS QUISPE UCEDO"/>
    <x v="3"/>
    <x v="3"/>
    <x v="10"/>
    <x v="0"/>
    <m/>
    <s v="FACIL"/>
    <n v="511"/>
    <n v="511"/>
    <m/>
    <m/>
    <m/>
    <m/>
    <m/>
    <n v="511"/>
    <n v="1"/>
    <s v="FINALIZADO"/>
  </r>
  <r>
    <x v="6"/>
    <d v="2025-06-06T00:00:00"/>
    <s v="JOSE LUIS QUISPE UCEDO"/>
    <x v="3"/>
    <x v="3"/>
    <x v="11"/>
    <x v="0"/>
    <m/>
    <s v="DIFICIL"/>
    <n v="2296"/>
    <n v="800"/>
    <n v="696"/>
    <n v="800"/>
    <m/>
    <m/>
    <m/>
    <n v="2296"/>
    <n v="1"/>
    <s v="FINALIZADO"/>
  </r>
  <r>
    <x v="7"/>
    <d v="2025-06-05T00:00:00"/>
    <s v="JOSE LUIS QUISPE UCEDO"/>
    <x v="3"/>
    <x v="4"/>
    <x v="9"/>
    <x v="2"/>
    <m/>
    <s v="DIFICIL"/>
    <n v="10"/>
    <n v="10"/>
    <m/>
    <m/>
    <m/>
    <m/>
    <m/>
    <n v="10"/>
    <n v="1"/>
    <s v="FINALIZADO"/>
  </r>
  <r>
    <x v="8"/>
    <d v="2025-06-06T00:00:00"/>
    <s v="JOSE LUIS QUISPE UCEDO"/>
    <x v="3"/>
    <x v="4"/>
    <x v="9"/>
    <x v="2"/>
    <m/>
    <s v="DIFICIL"/>
    <n v="10"/>
    <n v="10"/>
    <m/>
    <m/>
    <m/>
    <m/>
    <m/>
    <n v="10"/>
    <n v="1"/>
    <s v="FINALIZADO"/>
  </r>
  <r>
    <x v="9"/>
    <d v="2025-06-09T00:00:00"/>
    <s v="JOSE LUIS QUISPE UCEDO"/>
    <x v="3"/>
    <x v="4"/>
    <x v="9"/>
    <x v="2"/>
    <m/>
    <s v="DIFICIL"/>
    <n v="10"/>
    <n v="10"/>
    <m/>
    <m/>
    <m/>
    <m/>
    <m/>
    <n v="10"/>
    <n v="1"/>
    <s v="FINALIZADO"/>
  </r>
  <r>
    <x v="10"/>
    <d v="2025-06-11T00:00:00"/>
    <s v="JOSE LUIS QUISPE UCEDO"/>
    <x v="3"/>
    <x v="3"/>
    <x v="12"/>
    <x v="0"/>
    <m/>
    <s v="FACIL"/>
    <n v="305"/>
    <n v="305"/>
    <m/>
    <m/>
    <m/>
    <m/>
    <m/>
    <n v="305"/>
    <n v="1"/>
    <s v="FINALIZADO"/>
  </r>
  <r>
    <x v="10"/>
    <d v="2025-06-12T00:00:00"/>
    <s v="JOSE LUIS QUISPE UCEDO"/>
    <x v="3"/>
    <x v="3"/>
    <x v="13"/>
    <x v="0"/>
    <m/>
    <s v="MEDIO"/>
    <n v="1327"/>
    <n v="857"/>
    <n v="470"/>
    <m/>
    <m/>
    <m/>
    <m/>
    <n v="1327"/>
    <n v="1"/>
    <s v="FINALIZADO"/>
  </r>
  <r>
    <x v="11"/>
    <d v="2025-06-12T00:00:00"/>
    <s v="JOSE LUIS QUISPE UCEDO"/>
    <x v="3"/>
    <x v="3"/>
    <x v="14"/>
    <x v="0"/>
    <m/>
    <s v="FACIL"/>
    <n v="948"/>
    <n v="948"/>
    <m/>
    <m/>
    <m/>
    <m/>
    <m/>
    <n v="948"/>
    <n v="1"/>
    <s v="FINALIZADO"/>
  </r>
  <r>
    <x v="12"/>
    <d v="2025-06-20T00:00:00"/>
    <s v="JOSE LUIS QUISPE UCEDO"/>
    <x v="3"/>
    <x v="3"/>
    <x v="15"/>
    <x v="0"/>
    <m/>
    <s v="DIFICIL"/>
    <n v="7822"/>
    <n v="3432"/>
    <n v="1205"/>
    <n v="2000"/>
    <n v="1085"/>
    <n v="100"/>
    <m/>
    <n v="7822"/>
    <n v="1"/>
    <s v="FINALIZADO"/>
  </r>
  <r>
    <x v="12"/>
    <d v="2025-06-13T00:00:00"/>
    <s v="JOSE LUIS QUISPE UCEDO"/>
    <x v="3"/>
    <x v="4"/>
    <x v="9"/>
    <x v="2"/>
    <m/>
    <s v="DIFICIL"/>
    <n v="10"/>
    <n v="10"/>
    <m/>
    <m/>
    <m/>
    <m/>
    <m/>
    <n v="10"/>
    <n v="1"/>
    <s v="FINALIZADO"/>
  </r>
  <r>
    <x v="13"/>
    <d v="2025-06-14T00:00:00"/>
    <s v="JOSE LUIS QUISPE UCEDO"/>
    <x v="3"/>
    <x v="4"/>
    <x v="9"/>
    <x v="2"/>
    <m/>
    <s v="DIFICIL"/>
    <n v="10"/>
    <n v="10"/>
    <m/>
    <m/>
    <m/>
    <m/>
    <m/>
    <n v="10"/>
    <n v="1"/>
    <s v="FINALIZADO"/>
  </r>
  <r>
    <x v="14"/>
    <d v="2025-06-20T00:00:00"/>
    <s v="JOSE LUIS QUISPE UCEDO"/>
    <x v="4"/>
    <x v="0"/>
    <x v="16"/>
    <x v="0"/>
    <m/>
    <s v="MEDIO"/>
    <n v="481"/>
    <n v="200"/>
    <n v="150"/>
    <n v="131"/>
    <m/>
    <m/>
    <m/>
    <n v="481"/>
    <n v="1"/>
    <s v="FINALIZADO"/>
  </r>
  <r>
    <x v="14"/>
    <d v="2025-06-20T00:00:00"/>
    <s v="JOSE LUIS QUISPE UCEDO"/>
    <x v="5"/>
    <x v="0"/>
    <x v="17"/>
    <x v="0"/>
    <m/>
    <s v="FACIL"/>
    <n v="329"/>
    <n v="80"/>
    <n v="190"/>
    <n v="59"/>
    <m/>
    <m/>
    <m/>
    <n v="329"/>
    <n v="1"/>
    <s v="FINALIZADO"/>
  </r>
  <r>
    <x v="15"/>
    <d v="2025-06-19T00:00:00"/>
    <s v="JOSE LUIS QUISPE UCEDO"/>
    <x v="3"/>
    <x v="4"/>
    <x v="9"/>
    <x v="2"/>
    <m/>
    <s v="DIFICIL"/>
    <n v="10"/>
    <n v="10"/>
    <m/>
    <m/>
    <m/>
    <m/>
    <m/>
    <n v="10"/>
    <n v="1"/>
    <s v="FINALIZADO"/>
  </r>
  <r>
    <x v="16"/>
    <d v="2025-06-20T00:00:00"/>
    <s v="JOSE LUIS QUISPE UCEDO"/>
    <x v="3"/>
    <x v="4"/>
    <x v="9"/>
    <x v="2"/>
    <m/>
    <s v="DIFICIL"/>
    <n v="10"/>
    <n v="10"/>
    <m/>
    <m/>
    <m/>
    <m/>
    <m/>
    <n v="10"/>
    <n v="1"/>
    <s v="FINALIZADO"/>
  </r>
  <r>
    <x v="16"/>
    <d v="2025-06-20T00:00:00"/>
    <s v="JOSE LUIS QUISPE UCEDO"/>
    <x v="4"/>
    <x v="4"/>
    <x v="9"/>
    <x v="2"/>
    <m/>
    <s v="DIFICIL"/>
    <n v="10"/>
    <n v="10"/>
    <m/>
    <m/>
    <m/>
    <m/>
    <m/>
    <n v="10"/>
    <n v="1"/>
    <s v="FINALIZADO"/>
  </r>
  <r>
    <x v="16"/>
    <d v="2025-06-20T00:00:00"/>
    <s v="JOSE LUIS QUISPE UCEDO"/>
    <x v="5"/>
    <x v="4"/>
    <x v="9"/>
    <x v="2"/>
    <m/>
    <s v="DIFICIL"/>
    <n v="10"/>
    <n v="10"/>
    <m/>
    <m/>
    <m/>
    <m/>
    <m/>
    <n v="10"/>
    <n v="1"/>
    <s v="FINALIZADO"/>
  </r>
  <r>
    <x v="16"/>
    <d v="2025-06-27T00:00:00"/>
    <s v="JOSE LUIS QUISPE UCEDO"/>
    <x v="3"/>
    <x v="0"/>
    <x v="18"/>
    <x v="0"/>
    <m/>
    <s v="DIFICIL"/>
    <n v="1450"/>
    <n v="200"/>
    <n v="200"/>
    <n v="377"/>
    <m/>
    <m/>
    <n v="673"/>
    <n v="1450"/>
    <n v="1"/>
    <s v="FINALIZADO"/>
  </r>
  <r>
    <x v="17"/>
    <d v="2025-06-24T00:00:00"/>
    <s v="JOSE LUIS QUISPE UCEDO"/>
    <x v="4"/>
    <x v="0"/>
    <x v="19"/>
    <x v="0"/>
    <m/>
    <s v="MEDIO"/>
    <n v="1054"/>
    <n v="100"/>
    <n v="600"/>
    <m/>
    <m/>
    <n v="354"/>
    <m/>
    <n v="1054"/>
    <n v="1"/>
    <s v="FINALIZADO"/>
  </r>
  <r>
    <x v="17"/>
    <d v="2025-06-24T00:00:00"/>
    <s v="JOSE LUIS QUISPE UCEDO"/>
    <x v="5"/>
    <x v="0"/>
    <x v="20"/>
    <x v="0"/>
    <m/>
    <s v="FACIL"/>
    <n v="414"/>
    <n v="100"/>
    <n v="150"/>
    <m/>
    <m/>
    <n v="164"/>
    <m/>
    <n v="414"/>
    <n v="1"/>
    <s v="FINALIZADO"/>
  </r>
  <r>
    <x v="1"/>
    <d v="2025-06-25T00:00:00"/>
    <s v="JOSE LUIS QUISPE UCEDO"/>
    <x v="3"/>
    <x v="4"/>
    <x v="9"/>
    <x v="2"/>
    <m/>
    <s v="DIFICIL"/>
    <n v="10"/>
    <n v="10"/>
    <m/>
    <m/>
    <m/>
    <m/>
    <m/>
    <n v="10"/>
    <n v="1"/>
    <s v="FINALIZADO"/>
  </r>
  <r>
    <x v="1"/>
    <d v="2025-06-25T00:00:00"/>
    <s v="JOSE LUIS QUISPE UCEDO"/>
    <x v="5"/>
    <x v="4"/>
    <x v="9"/>
    <x v="2"/>
    <m/>
    <s v="DIFICIL"/>
    <n v="10"/>
    <n v="10"/>
    <m/>
    <m/>
    <m/>
    <m/>
    <m/>
    <n v="10"/>
    <n v="1"/>
    <s v="FINALIZADO"/>
  </r>
  <r>
    <x v="1"/>
    <d v="2025-06-25T00:00:00"/>
    <s v="JOSE LUIS QUISPE UCEDO"/>
    <x v="4"/>
    <x v="4"/>
    <x v="9"/>
    <x v="2"/>
    <m/>
    <s v="DIFICIL"/>
    <n v="10"/>
    <n v="10"/>
    <m/>
    <m/>
    <m/>
    <m/>
    <m/>
    <n v="10"/>
    <n v="1"/>
    <s v="FINALIZADO"/>
  </r>
  <r>
    <x v="2"/>
    <d v="2025-06-26T00:00:00"/>
    <s v="JOSE LUIS QUISPE UCEDO"/>
    <x v="3"/>
    <x v="4"/>
    <x v="9"/>
    <x v="2"/>
    <m/>
    <s v="DIFICIL"/>
    <n v="10"/>
    <n v="10"/>
    <m/>
    <m/>
    <m/>
    <m/>
    <m/>
    <n v="10"/>
    <n v="1"/>
    <s v="FINALIZADO"/>
  </r>
  <r>
    <x v="2"/>
    <d v="2025-06-26T00:00:00"/>
    <s v="JOSE LUIS QUISPE UCEDO"/>
    <x v="5"/>
    <x v="4"/>
    <x v="9"/>
    <x v="2"/>
    <m/>
    <s v="DIFICIL"/>
    <n v="10"/>
    <n v="10"/>
    <m/>
    <m/>
    <m/>
    <m/>
    <m/>
    <n v="10"/>
    <n v="1"/>
    <s v="FINALIZADO"/>
  </r>
  <r>
    <x v="2"/>
    <d v="2025-06-26T00:00:00"/>
    <s v="JOSE LUIS QUISPE UCEDO"/>
    <x v="4"/>
    <x v="4"/>
    <x v="9"/>
    <x v="2"/>
    <m/>
    <s v="DIFICIL"/>
    <n v="10"/>
    <n v="10"/>
    <m/>
    <m/>
    <m/>
    <m/>
    <m/>
    <n v="10"/>
    <n v="1"/>
    <s v="FINALIZADO"/>
  </r>
  <r>
    <x v="3"/>
    <d v="2025-06-27T00:00:00"/>
    <s v="JOSE LUIS QUISPE UCEDO"/>
    <x v="3"/>
    <x v="4"/>
    <x v="9"/>
    <x v="2"/>
    <m/>
    <s v="DIFICIL"/>
    <n v="10"/>
    <n v="10"/>
    <m/>
    <m/>
    <m/>
    <m/>
    <m/>
    <n v="10"/>
    <n v="1"/>
    <s v="FINALIZADO"/>
  </r>
  <r>
    <x v="3"/>
    <d v="2025-06-30T00:00:00"/>
    <s v="JOSE LUIS QUISPE UCEDO"/>
    <x v="5"/>
    <x v="0"/>
    <x v="21"/>
    <x v="0"/>
    <m/>
    <s v="FACIL"/>
    <n v="371"/>
    <n v="180"/>
    <n v="191"/>
    <m/>
    <m/>
    <m/>
    <m/>
    <n v="371"/>
    <n v="1"/>
    <s v="FINALIZADO"/>
  </r>
  <r>
    <x v="3"/>
    <d v="2025-06-30T00:00:00"/>
    <s v="JOSE LUIS QUISPE UCEDO"/>
    <x v="4"/>
    <x v="0"/>
    <x v="22"/>
    <x v="0"/>
    <m/>
    <s v="MEDIO"/>
    <n v="694"/>
    <n v="400"/>
    <n v="294"/>
    <m/>
    <m/>
    <m/>
    <m/>
    <n v="694"/>
    <n v="1"/>
    <s v="FINALIZADO"/>
  </r>
  <r>
    <x v="3"/>
    <m/>
    <s v="JOSE LUIS QUISPE UCEDO"/>
    <x v="3"/>
    <x v="4"/>
    <x v="9"/>
    <x v="2"/>
    <m/>
    <s v="DIFICIL"/>
    <n v="10"/>
    <n v="10"/>
    <m/>
    <m/>
    <m/>
    <m/>
    <m/>
    <n v="10"/>
    <n v="1"/>
    <s v="FINALIZADO"/>
  </r>
  <r>
    <x v="3"/>
    <m/>
    <s v="JOSE LUIS QUISPE UCEDO"/>
    <x v="5"/>
    <x v="0"/>
    <x v="21"/>
    <x v="0"/>
    <m/>
    <s v="FACIL"/>
    <n v="371"/>
    <n v="180"/>
    <n v="191"/>
    <m/>
    <m/>
    <m/>
    <m/>
    <n v="371"/>
    <n v="1"/>
    <s v="FINALIZADO"/>
  </r>
  <r>
    <x v="3"/>
    <m/>
    <s v="JOSE LUIS QUISPE UCEDO"/>
    <x v="4"/>
    <x v="2"/>
    <x v="22"/>
    <x v="0"/>
    <m/>
    <s v="MEDIO"/>
    <n v="694"/>
    <n v="400"/>
    <n v="294"/>
    <m/>
    <m/>
    <m/>
    <m/>
    <n v="694"/>
    <n v="1"/>
    <s v="FINALIZADO"/>
  </r>
  <r>
    <x v="18"/>
    <m/>
    <s v="JOSE LUIS QUISPE UCEDO"/>
    <x v="3"/>
    <x v="0"/>
    <x v="23"/>
    <x v="0"/>
    <m/>
    <s v="DIFICIL"/>
    <n v="1782"/>
    <n v="400"/>
    <m/>
    <m/>
    <m/>
    <m/>
    <m/>
    <n v="400"/>
    <n v="0.22446689113355781"/>
    <s v="OBSERVADO"/>
  </r>
  <r>
    <x v="18"/>
    <m/>
    <s v="JOSE LUIS QUISPE UCEDO"/>
    <x v="4"/>
    <x v="0"/>
    <x v="24"/>
    <x v="0"/>
    <m/>
    <s v="MEDIO"/>
    <n v="592"/>
    <n v="500"/>
    <m/>
    <m/>
    <m/>
    <m/>
    <m/>
    <n v="500"/>
    <n v="0.84459459459459463"/>
    <s v="EN PROCESO"/>
  </r>
  <r>
    <x v="0"/>
    <d v="2025-06-25T00:00:00"/>
    <s v="FREDDY OLIVER SOTO HUANCA"/>
    <x v="6"/>
    <x v="1"/>
    <x v="25"/>
    <x v="3"/>
    <m/>
    <s v="MEDIO"/>
    <n v="25"/>
    <n v="10"/>
    <n v="15"/>
    <m/>
    <m/>
    <m/>
    <m/>
    <n v="25"/>
    <n v="1"/>
    <s v="FINALIZADO"/>
  </r>
  <r>
    <x v="0"/>
    <d v="2025-06-24T00:00:00"/>
    <s v="FREDDY OLIVER SOTO HUANCA"/>
    <x v="7"/>
    <x v="0"/>
    <x v="26"/>
    <x v="0"/>
    <m/>
    <s v="DIFICIL"/>
    <n v="1505"/>
    <n v="600"/>
    <n v="905"/>
    <m/>
    <m/>
    <m/>
    <m/>
    <n v="1505"/>
    <n v="1"/>
    <s v="FINALIZADO"/>
  </r>
  <r>
    <x v="0"/>
    <d v="2025-06-27T00:00:00"/>
    <s v="FREDDY OLIVER SOTO HUANCA"/>
    <x v="7"/>
    <x v="1"/>
    <x v="27"/>
    <x v="3"/>
    <m/>
    <s v="DIFICIL"/>
    <n v="34"/>
    <n v="25"/>
    <n v="9"/>
    <m/>
    <m/>
    <m/>
    <m/>
    <n v="34"/>
    <n v="1"/>
    <s v="FINALIZADO"/>
  </r>
  <r>
    <x v="0"/>
    <d v="2025-06-26T00:00:00"/>
    <s v="FREDDY OLIVER SOTO HUANCA"/>
    <x v="8"/>
    <x v="0"/>
    <x v="28"/>
    <x v="0"/>
    <m/>
    <s v="MEDIO"/>
    <n v="393"/>
    <n v="290"/>
    <n v="103"/>
    <m/>
    <m/>
    <m/>
    <m/>
    <n v="393"/>
    <n v="1"/>
    <s v="FINALIZADO"/>
  </r>
  <r>
    <x v="0"/>
    <d v="2025-06-30T00:00:00"/>
    <s v="FREDDY OLIVER SOTO HUANCA"/>
    <x v="8"/>
    <x v="0"/>
    <x v="29"/>
    <x v="0"/>
    <m/>
    <s v="MEDIO"/>
    <n v="695"/>
    <n v="210"/>
    <n v="450"/>
    <n v="35"/>
    <m/>
    <m/>
    <m/>
    <n v="695"/>
    <n v="1"/>
    <s v="FINALIZADO"/>
  </r>
  <r>
    <x v="0"/>
    <d v="2025-06-24T00:00:00"/>
    <s v="FREDDY OLIVER SOTO HUANCA"/>
    <x v="8"/>
    <x v="2"/>
    <x v="2"/>
    <x v="2"/>
    <s v="EMPAREJAMIENTO DEL MARCO DE LISTA."/>
    <s v="DIFICIL"/>
    <n v="10"/>
    <n v="10"/>
    <m/>
    <m/>
    <m/>
    <m/>
    <m/>
    <n v="10"/>
    <n v="1"/>
    <s v="FINALIZADO"/>
  </r>
  <r>
    <x v="1"/>
    <d v="2025-06-25T00:00:00"/>
    <s v="FREDDY OLIVER SOTO HUANCA"/>
    <x v="7"/>
    <x v="2"/>
    <x v="2"/>
    <x v="2"/>
    <s v="EMPAREJAMIENTO DEL MARCO DE LISTA."/>
    <s v="DIFICIL"/>
    <n v="10"/>
    <n v="10"/>
    <m/>
    <m/>
    <m/>
    <m/>
    <m/>
    <n v="10"/>
    <n v="1"/>
    <s v="FINALIZADO"/>
  </r>
  <r>
    <x v="1"/>
    <d v="2025-06-25T00:00:00"/>
    <s v="FREDDY OLIVER SOTO HUANCA"/>
    <x v="6"/>
    <x v="2"/>
    <x v="2"/>
    <x v="2"/>
    <s v="EMPAREJAMIENTO DEL MARCO DE LISTA."/>
    <s v="DIFICIL"/>
    <n v="10"/>
    <n v="10"/>
    <m/>
    <m/>
    <m/>
    <m/>
    <m/>
    <n v="10"/>
    <n v="1"/>
    <s v="FINALIZADO"/>
  </r>
  <r>
    <x v="1"/>
    <m/>
    <s v="FREDDY OLIVER SOTO HUANCA"/>
    <x v="6"/>
    <x v="0"/>
    <x v="30"/>
    <x v="0"/>
    <m/>
    <s v="MEDIO"/>
    <n v="401"/>
    <n v="50"/>
    <m/>
    <m/>
    <m/>
    <m/>
    <m/>
    <n v="50"/>
    <n v="0.12468827930174564"/>
    <s v="OBSERVADO"/>
  </r>
  <r>
    <x v="1"/>
    <d v="2025-06-25T00:00:00"/>
    <s v="FREDDY OLIVER SOTO HUANCA"/>
    <x v="8"/>
    <x v="2"/>
    <x v="2"/>
    <x v="2"/>
    <s v="EMPAREJAMIENTO DEL MARCO DE LISTA."/>
    <s v="DIFICIL"/>
    <n v="10"/>
    <n v="10"/>
    <m/>
    <m/>
    <m/>
    <m/>
    <m/>
    <n v="10"/>
    <n v="1"/>
    <s v="FINALIZADO"/>
  </r>
  <r>
    <x v="2"/>
    <d v="2025-06-26T00:00:00"/>
    <s v="FREDDY OLIVER SOTO HUANCA"/>
    <x v="7"/>
    <x v="2"/>
    <x v="2"/>
    <x v="2"/>
    <s v="LIMPIEZA DE PREDIOS INRA"/>
    <s v="DIFICIL"/>
    <n v="10"/>
    <n v="10"/>
    <m/>
    <m/>
    <m/>
    <m/>
    <m/>
    <n v="10"/>
    <n v="1"/>
    <s v="FINALIZADO"/>
  </r>
  <r>
    <x v="2"/>
    <d v="2025-06-26T00:00:00"/>
    <s v="FREDDY OLIVER SOTO HUANCA"/>
    <x v="6"/>
    <x v="2"/>
    <x v="2"/>
    <x v="2"/>
    <s v="LIMPIEZA DE PREDIOS INRA"/>
    <s v="DIFICIL"/>
    <n v="10"/>
    <n v="10"/>
    <m/>
    <m/>
    <m/>
    <m/>
    <m/>
    <n v="10"/>
    <n v="1"/>
    <s v="FINALIZADO"/>
  </r>
  <r>
    <x v="2"/>
    <d v="2025-06-26T00:00:00"/>
    <s v="FREDDY OLIVER SOTO HUANCA"/>
    <x v="8"/>
    <x v="2"/>
    <x v="2"/>
    <x v="2"/>
    <s v="LIMPIEZA DE PREDIOS INRA"/>
    <s v="DIFICIL"/>
    <n v="10"/>
    <n v="10"/>
    <m/>
    <m/>
    <m/>
    <m/>
    <m/>
    <n v="10"/>
    <n v="1"/>
    <s v="FINALIZADO"/>
  </r>
  <r>
    <x v="3"/>
    <m/>
    <s v="FREDDY OLIVER SOTO HUANCA"/>
    <x v="7"/>
    <x v="1"/>
    <x v="31"/>
    <x v="3"/>
    <m/>
    <s v="DIFICIL"/>
    <n v="103"/>
    <n v="25"/>
    <m/>
    <m/>
    <m/>
    <m/>
    <m/>
    <n v="25"/>
    <n v="0.24271844660194175"/>
    <s v="OBSERVADO"/>
  </r>
  <r>
    <x v="3"/>
    <d v="2025-06-27T00:00:00"/>
    <s v="FREDDY OLIVER SOTO HUANCA"/>
    <x v="6"/>
    <x v="2"/>
    <x v="2"/>
    <x v="2"/>
    <s v="UNIÓN DE LA LIMPIEZA DE PREDIOS INRA DEL MUNICIPIO DE CARANAVI "/>
    <s v="DIFICIL"/>
    <n v="10"/>
    <n v="10"/>
    <m/>
    <m/>
    <m/>
    <m/>
    <m/>
    <n v="10"/>
    <n v="1"/>
    <s v="FINALIZADO"/>
  </r>
  <r>
    <x v="0"/>
    <d v="2025-06-24T00:00:00"/>
    <s v="GABRIELA BELEN CESPEDES ROJAS"/>
    <x v="9"/>
    <x v="0"/>
    <x v="32"/>
    <x v="0"/>
    <m/>
    <s v="DIFICIL"/>
    <n v="646"/>
    <n v="646"/>
    <m/>
    <m/>
    <m/>
    <m/>
    <m/>
    <n v="646"/>
    <n v="1"/>
    <s v="FINALIZADO"/>
  </r>
  <r>
    <x v="0"/>
    <d v="2025-06-26T00:00:00"/>
    <s v="GABRIELA BELEN CESPEDES ROJAS"/>
    <x v="9"/>
    <x v="0"/>
    <x v="33"/>
    <x v="0"/>
    <m/>
    <s v="DIFICIL"/>
    <n v="1135"/>
    <n v="200"/>
    <n v="935"/>
    <m/>
    <m/>
    <m/>
    <m/>
    <n v="1135"/>
    <n v="1"/>
    <s v="FINALIZADO"/>
  </r>
  <r>
    <x v="16"/>
    <d v="2025-06-24T00:00:00"/>
    <s v="GABRIELA BELEN CESPEDES ROJAS"/>
    <x v="10"/>
    <x v="0"/>
    <x v="34"/>
    <x v="0"/>
    <m/>
    <s v="DIFICIL"/>
    <n v="1414"/>
    <n v="200"/>
    <n v="1000"/>
    <n v="214"/>
    <m/>
    <m/>
    <m/>
    <n v="1414"/>
    <n v="1"/>
    <s v="FINALIZADO"/>
  </r>
  <r>
    <x v="0"/>
    <d v="2025-06-30T00:00:00"/>
    <s v="GABRIELA BELEN CESPEDES ROJAS"/>
    <x v="10"/>
    <x v="0"/>
    <x v="35"/>
    <x v="0"/>
    <m/>
    <s v="DIFICIL"/>
    <n v="1478"/>
    <n v="410"/>
    <m/>
    <m/>
    <m/>
    <n v="800"/>
    <m/>
    <n v="1210"/>
    <n v="0.81867388362652238"/>
    <s v="EN PROCESO"/>
  </r>
  <r>
    <x v="14"/>
    <d v="2025-06-24T00:00:00"/>
    <s v="GABRIELA BELEN CESPEDES ROJAS"/>
    <x v="11"/>
    <x v="0"/>
    <x v="36"/>
    <x v="0"/>
    <m/>
    <s v="FACIL"/>
    <n v="396"/>
    <n v="64"/>
    <n v="114"/>
    <n v="180"/>
    <n v="38"/>
    <m/>
    <m/>
    <n v="396"/>
    <n v="1"/>
    <s v="FINALIZADO"/>
  </r>
  <r>
    <x v="0"/>
    <d v="2025-06-27T00:00:00"/>
    <s v="GABRIELA BELEN CESPEDES ROJAS"/>
    <x v="11"/>
    <x v="0"/>
    <x v="37"/>
    <x v="0"/>
    <m/>
    <s v="FACIL"/>
    <n v="413"/>
    <n v="92"/>
    <m/>
    <m/>
    <m/>
    <n v="321"/>
    <m/>
    <n v="413"/>
    <n v="1"/>
    <s v="FINALIZADO"/>
  </r>
  <r>
    <x v="1"/>
    <d v="2025-06-26T00:00:00"/>
    <s v="GABRIELA BELEN CESPEDES ROJAS"/>
    <x v="9"/>
    <x v="2"/>
    <x v="2"/>
    <x v="2"/>
    <s v="LIMPIEZA DE LA CAPA DEL INRA MUNICIPIO DE CARANAVI"/>
    <s v="DIFICIL"/>
    <n v="2155"/>
    <n v="1900"/>
    <n v="255"/>
    <m/>
    <m/>
    <m/>
    <m/>
    <n v="2155"/>
    <n v="1"/>
    <s v="FINALIZADO"/>
  </r>
  <r>
    <x v="1"/>
    <d v="2025-06-26T00:00:00"/>
    <s v="GABRIELA BELEN CESPEDES ROJAS"/>
    <x v="10"/>
    <x v="2"/>
    <x v="2"/>
    <x v="2"/>
    <s v="LIMPIEZA DE LA CAPA DEL INRA MUNICIPIO DE MAGDALENA"/>
    <s v="DIFICIL"/>
    <n v="218"/>
    <n v="218"/>
    <m/>
    <m/>
    <m/>
    <m/>
    <m/>
    <n v="218"/>
    <n v="1"/>
    <s v="FINALIZADO"/>
  </r>
  <r>
    <x v="1"/>
    <d v="2025-06-26T00:00:00"/>
    <s v="GABRIELA BELEN CESPEDES ROJAS"/>
    <x v="10"/>
    <x v="2"/>
    <x v="2"/>
    <x v="2"/>
    <s v="LIMPIEZA DE LA CAPA DEL INRA MUNICIPIO DE CARANAVI"/>
    <s v="DIFICIL"/>
    <n v="1200"/>
    <n v="500"/>
    <n v="700"/>
    <m/>
    <m/>
    <m/>
    <m/>
    <n v="1200"/>
    <n v="1"/>
    <s v="FINALIZADO"/>
  </r>
  <r>
    <x v="1"/>
    <d v="2025-06-26T00:00:00"/>
    <s v="GABRIELA BELEN CESPEDES ROJAS"/>
    <x v="11"/>
    <x v="2"/>
    <x v="2"/>
    <x v="2"/>
    <s v="LIMPIEZA DE LA CAPA DEL INRA MUNICIPIO DE URIONDO"/>
    <s v="DIFICIL"/>
    <n v="3439"/>
    <n v="1800"/>
    <n v="1000"/>
    <n v="639"/>
    <m/>
    <m/>
    <m/>
    <n v="3439"/>
    <n v="1"/>
    <s v="FINALIZADO"/>
  </r>
  <r>
    <x v="2"/>
    <d v="2025-06-26T00:00:00"/>
    <s v="GABRIELA BELEN CESPEDES ROJAS"/>
    <x v="9"/>
    <x v="2"/>
    <x v="2"/>
    <x v="2"/>
    <s v="VERIFICACION DE EMPAREJAMIENTO - 5  COMUNIDADES DEL MUNICIPIO DE VILLA VACA GUZMAN"/>
    <s v="MEDIO"/>
    <n v="5"/>
    <n v="5"/>
    <m/>
    <m/>
    <m/>
    <m/>
    <m/>
    <n v="5"/>
    <n v="1"/>
    <s v="FINALIZADO"/>
  </r>
  <r>
    <x v="2"/>
    <d v="2025-06-26T00:00:00"/>
    <s v="GABRIELA BELEN CESPEDES ROJAS"/>
    <x v="9"/>
    <x v="2"/>
    <x v="2"/>
    <x v="2"/>
    <s v="VERIFICACION DE EMPAREJAMIENTO - 21 COMUNIDADES DEL MUNICIPIO DE CARANAVI"/>
    <s v="MEDIO"/>
    <n v="21"/>
    <n v="21"/>
    <m/>
    <m/>
    <m/>
    <m/>
    <m/>
    <n v="21"/>
    <n v="1"/>
    <s v="FINALIZADO"/>
  </r>
  <r>
    <x v="2"/>
    <d v="2025-06-26T00:00:00"/>
    <s v="GABRIELA BELEN CESPEDES ROJAS"/>
    <x v="9"/>
    <x v="2"/>
    <x v="2"/>
    <x v="2"/>
    <s v="VERIFICACION DE EMPAREJAMIENTO - 4 COMUNIDADES DEL MUNICIPIO DE URIONDO "/>
    <s v="MEDIO"/>
    <n v="4"/>
    <n v="4"/>
    <m/>
    <m/>
    <m/>
    <m/>
    <m/>
    <n v="4"/>
    <n v="1"/>
    <s v="FINALIZADO"/>
  </r>
  <r>
    <x v="2"/>
    <d v="2025-06-26T00:00:00"/>
    <s v="GABRIELA BELEN CESPEDES ROJAS"/>
    <x v="9"/>
    <x v="2"/>
    <x v="2"/>
    <x v="2"/>
    <s v="VERIFICACION DE EMPAREJAMIENTO - 4 COMUNIDADES DEL MUNICIPIO DE FERNANDEZ ALONSO"/>
    <s v="MEDIO"/>
    <n v="4"/>
    <n v="4"/>
    <m/>
    <m/>
    <m/>
    <m/>
    <m/>
    <n v="4"/>
    <n v="1"/>
    <s v="FINALIZADO"/>
  </r>
  <r>
    <x v="2"/>
    <d v="2025-06-26T00:00:00"/>
    <s v="GABRIELA BELEN CESPEDES ROJAS"/>
    <x v="9"/>
    <x v="2"/>
    <x v="2"/>
    <x v="2"/>
    <s v="VERIFICACION DE EMPAREJAMIENTO - 21 COMUNIDADES DEL MUNICIPIO DE MAGDALENA"/>
    <s v="MEDIO"/>
    <n v="21"/>
    <n v="21"/>
    <m/>
    <m/>
    <m/>
    <m/>
    <m/>
    <n v="21"/>
    <n v="1"/>
    <s v="FINALIZADO"/>
  </r>
  <r>
    <x v="2"/>
    <d v="2025-06-26T00:00:00"/>
    <s v="GABRIELA BELEN CESPEDES ROJAS"/>
    <x v="10"/>
    <x v="2"/>
    <x v="2"/>
    <x v="2"/>
    <s v="VERIFICACION DE EMPAREJAMIENTO - 4  COMUNIDADES DEL MUNICIPIO DE VILLA VACA GUZMAN"/>
    <s v="MEDIO"/>
    <n v="4"/>
    <n v="4"/>
    <m/>
    <m/>
    <m/>
    <m/>
    <m/>
    <n v="4"/>
    <n v="1"/>
    <s v="FINALIZADO"/>
  </r>
  <r>
    <x v="2"/>
    <d v="2025-06-26T00:00:00"/>
    <s v="GABRIELA BELEN CESPEDES ROJAS"/>
    <x v="10"/>
    <x v="2"/>
    <x v="2"/>
    <x v="2"/>
    <s v="VERIFICACION DE EMPAREJAMIENTO - 21 COMUNIDADES DEL MUNICIPIO DE CARANAVI"/>
    <s v="MEDIO"/>
    <n v="21"/>
    <n v="21"/>
    <m/>
    <m/>
    <m/>
    <m/>
    <m/>
    <n v="21"/>
    <n v="1"/>
    <s v="FINALIZADO"/>
  </r>
  <r>
    <x v="2"/>
    <d v="2025-06-26T00:00:00"/>
    <s v="GABRIELA BELEN CESPEDES ROJAS"/>
    <x v="10"/>
    <x v="2"/>
    <x v="2"/>
    <x v="2"/>
    <s v="VERIFICACION DE EMPAREJAMIENTO - 4 COMUNIDADES DEL MUNICIPIO DE URIONDO "/>
    <s v="MEDIO"/>
    <n v="4"/>
    <n v="4"/>
    <m/>
    <m/>
    <m/>
    <m/>
    <m/>
    <n v="4"/>
    <n v="1"/>
    <s v="FINALIZADO"/>
  </r>
  <r>
    <x v="2"/>
    <d v="2025-06-26T00:00:00"/>
    <s v="GABRIELA BELEN CESPEDES ROJAS"/>
    <x v="10"/>
    <x v="2"/>
    <x v="2"/>
    <x v="2"/>
    <s v="VERIFICACION DE EMPAREJAMIENTO - 4 COMUNIDADES DEL MUNICIPIO DE FERNANDEZ ALONSO"/>
    <s v="MEDIO"/>
    <n v="4"/>
    <n v="4"/>
    <m/>
    <m/>
    <m/>
    <m/>
    <m/>
    <n v="4"/>
    <n v="1"/>
    <s v="FINALIZADO"/>
  </r>
  <r>
    <x v="2"/>
    <d v="2025-06-26T00:00:00"/>
    <s v="GABRIELA BELEN CESPEDES ROJAS"/>
    <x v="10"/>
    <x v="2"/>
    <x v="2"/>
    <x v="2"/>
    <s v="VERIFICACION DE EMPAREJAMIENTO - 21 COMUNIDADES DEL MUNICIPIO DE MAGDALENA"/>
    <s v="MEDIO"/>
    <n v="21"/>
    <n v="21"/>
    <m/>
    <m/>
    <m/>
    <m/>
    <m/>
    <n v="21"/>
    <n v="1"/>
    <s v="FINALIZADO"/>
  </r>
  <r>
    <x v="2"/>
    <d v="2025-06-26T00:00:00"/>
    <s v="GABRIELA BELEN CESPEDES ROJAS"/>
    <x v="10"/>
    <x v="2"/>
    <x v="2"/>
    <x v="2"/>
    <s v="VERIFICACION DE EMPAREJAMIENTO - 1  COMUNIDAD DEL MUNICIPIO DE HUATAJATA"/>
    <s v="MEDIO"/>
    <n v="1"/>
    <n v="1"/>
    <m/>
    <m/>
    <m/>
    <m/>
    <m/>
    <n v="1"/>
    <n v="1"/>
    <s v="FINALIZADO"/>
  </r>
  <r>
    <x v="2"/>
    <d v="2025-06-26T00:00:00"/>
    <s v="GABRIELA BELEN CESPEDES ROJAS"/>
    <x v="11"/>
    <x v="2"/>
    <x v="2"/>
    <x v="2"/>
    <s v="VERIFICACION DE EMPAREJAMIENTO - 4  COMUNIDADES DEL MUNICIPIO DE VILLA VACA GUZMAN"/>
    <s v="MEDIO"/>
    <n v="4"/>
    <n v="4"/>
    <m/>
    <m/>
    <m/>
    <m/>
    <m/>
    <n v="4"/>
    <n v="1"/>
    <s v="FINALIZADO"/>
  </r>
  <r>
    <x v="2"/>
    <d v="2025-06-26T00:00:00"/>
    <s v="GABRIELA BELEN CESPEDES ROJAS"/>
    <x v="11"/>
    <x v="2"/>
    <x v="2"/>
    <x v="2"/>
    <s v="VERIFICACION DE EMPAREJAMIENTO - 21 COMUNIDADES DEL MUNICIPIO DE CARANAVI"/>
    <s v="MEDIO"/>
    <n v="21"/>
    <n v="21"/>
    <m/>
    <m/>
    <m/>
    <m/>
    <m/>
    <n v="21"/>
    <n v="1"/>
    <s v="FINALIZADO"/>
  </r>
  <r>
    <x v="2"/>
    <d v="2025-06-26T00:00:00"/>
    <s v="GABRIELA BELEN CESPEDES ROJAS"/>
    <x v="11"/>
    <x v="2"/>
    <x v="2"/>
    <x v="2"/>
    <s v="VERIFICACION DE EMPAREJAMIENTO - 4 COMUNIDADES DEL MUNICIPIO DE URIONDO "/>
    <s v="MEDIO"/>
    <n v="4"/>
    <n v="4"/>
    <m/>
    <m/>
    <m/>
    <m/>
    <m/>
    <n v="4"/>
    <n v="1"/>
    <s v="FINALIZADO"/>
  </r>
  <r>
    <x v="2"/>
    <d v="2025-06-26T00:00:00"/>
    <s v="GABRIELA BELEN CESPEDES ROJAS"/>
    <x v="11"/>
    <x v="2"/>
    <x v="2"/>
    <x v="2"/>
    <s v="VERIFICACION DE EMPAREJAMIENTO - 4 COMUNIDADES DEL MUNICIPIO DE FERNANDEZ ALONSO"/>
    <s v="MEDIO"/>
    <n v="4"/>
    <n v="4"/>
    <m/>
    <m/>
    <m/>
    <m/>
    <m/>
    <n v="4"/>
    <n v="1"/>
    <s v="FINALIZADO"/>
  </r>
  <r>
    <x v="2"/>
    <d v="2025-06-26T00:00:00"/>
    <s v="GABRIELA BELEN CESPEDES ROJAS"/>
    <x v="11"/>
    <x v="2"/>
    <x v="2"/>
    <x v="2"/>
    <s v="VERIFICACION DE EMPAREJAMIENTO - 21 COMUNIDADES DEL MUNICIPIO DE MAGDALENA"/>
    <s v="MEDIO"/>
    <n v="21"/>
    <n v="21"/>
    <m/>
    <m/>
    <m/>
    <m/>
    <m/>
    <n v="21"/>
    <n v="1"/>
    <s v="FINALIZADO"/>
  </r>
  <r>
    <x v="2"/>
    <d v="2025-06-26T00:00:00"/>
    <s v="GABRIELA BELEN CESPEDES ROJAS"/>
    <x v="11"/>
    <x v="2"/>
    <x v="2"/>
    <x v="2"/>
    <s v="VERIFICACION DE EMPAREJAMIENTO - 1  COMUNIDAD DEL MUNICIPIO DE HUATAJATA"/>
    <s v="MEDIO"/>
    <n v="1"/>
    <n v="1"/>
    <m/>
    <m/>
    <m/>
    <m/>
    <m/>
    <n v="1"/>
    <n v="1"/>
    <s v="FINALIZADO"/>
  </r>
  <r>
    <x v="3"/>
    <d v="2025-06-27T00:00:00"/>
    <s v="GABRIELA BELEN CESPEDES ROJAS"/>
    <x v="10"/>
    <x v="2"/>
    <x v="2"/>
    <x v="2"/>
    <s v="CORRECCION DE LIMPIEZA DE MAGDALENA"/>
    <s v="DIFICIL"/>
    <n v="10"/>
    <n v="10"/>
    <m/>
    <m/>
    <m/>
    <m/>
    <m/>
    <n v="10"/>
    <n v="1"/>
    <s v="FINALIZADO"/>
  </r>
  <r>
    <x v="3"/>
    <d v="2025-06-27T00:00:00"/>
    <s v="GABRIELA BELEN CESPEDES ROJAS"/>
    <x v="9"/>
    <x v="0"/>
    <x v="38"/>
    <x v="0"/>
    <s v="SAN PEDRO  "/>
    <s v="DIFICIL"/>
    <n v="972"/>
    <n v="972"/>
    <m/>
    <m/>
    <m/>
    <m/>
    <m/>
    <n v="972"/>
    <n v="1"/>
    <s v="FINALIZADO"/>
  </r>
  <r>
    <x v="3"/>
    <d v="2025-03-30T00:00:00"/>
    <s v="GABRIELA BELEN CESPEDES ROJAS"/>
    <x v="9"/>
    <x v="0"/>
    <x v="39"/>
    <x v="0"/>
    <s v="SAN MATIAS"/>
    <s v="DIFICIL"/>
    <n v="1135"/>
    <n v="200"/>
    <n v="935"/>
    <m/>
    <m/>
    <m/>
    <m/>
    <n v="1135"/>
    <n v="1"/>
    <s v="FINALIZADO"/>
  </r>
  <r>
    <x v="3"/>
    <d v="2025-06-27T00:00:00"/>
    <s v="GABRIELA BELEN CESPEDES ROJAS"/>
    <x v="11"/>
    <x v="0"/>
    <x v="9"/>
    <x v="0"/>
    <s v="SAN RAMON"/>
    <s v="FACIL"/>
    <n v="195"/>
    <n v="195"/>
    <m/>
    <m/>
    <m/>
    <m/>
    <m/>
    <n v="195"/>
    <n v="1"/>
    <s v="FINALIZADO"/>
  </r>
  <r>
    <x v="0"/>
    <d v="2025-06-24T00:00:00"/>
    <s v="MAURICIO JORGE MONTERO LOROÑO"/>
    <x v="12"/>
    <x v="0"/>
    <x v="40"/>
    <x v="0"/>
    <m/>
    <s v="FACIL"/>
    <n v="325"/>
    <n v="325"/>
    <m/>
    <m/>
    <m/>
    <m/>
    <m/>
    <n v="325"/>
    <n v="1"/>
    <s v="FINALIZADO"/>
  </r>
  <r>
    <x v="0"/>
    <d v="2025-06-24T00:00:00"/>
    <s v="MAURICIO JORGE MONTERO LOROÑO"/>
    <x v="13"/>
    <x v="0"/>
    <x v="41"/>
    <x v="0"/>
    <m/>
    <s v="MEDIO"/>
    <n v="960"/>
    <n v="960"/>
    <m/>
    <m/>
    <m/>
    <m/>
    <m/>
    <n v="960"/>
    <n v="1"/>
    <s v="FINALIZADO"/>
  </r>
  <r>
    <x v="1"/>
    <d v="2025-06-27T00:00:00"/>
    <s v="MAURICIO JORGE MONTERO LOROÑO"/>
    <x v="13"/>
    <x v="5"/>
    <x v="42"/>
    <x v="2"/>
    <s v="LIMPIEZA POLIGONOS INRA, EMPAREJAMIENTO"/>
    <s v="DIFICIL"/>
    <n v="1242"/>
    <n v="660"/>
    <n v="582"/>
    <m/>
    <m/>
    <m/>
    <m/>
    <n v="1242"/>
    <n v="1"/>
    <s v="FINALIZADO"/>
  </r>
  <r>
    <x v="1"/>
    <d v="2025-06-26T00:00:00"/>
    <s v="MAURICIO JORGE MONTERO LOROÑO"/>
    <x v="12"/>
    <x v="6"/>
    <x v="43"/>
    <x v="2"/>
    <s v="LIMPIEZA POLIGONOS INRA, EMPAREJAMIENTO"/>
    <s v="DIFICIL"/>
    <n v="302"/>
    <n v="302"/>
    <m/>
    <m/>
    <m/>
    <m/>
    <m/>
    <n v="302"/>
    <n v="1"/>
    <s v="FINALIZADO"/>
  </r>
  <r>
    <x v="2"/>
    <d v="2025-06-26T00:00:00"/>
    <s v="MAURICIO JORGE MONTERO LOROÑO"/>
    <x v="12"/>
    <x v="5"/>
    <x v="42"/>
    <x v="2"/>
    <s v="LIMPIEZA POLIGONOS INRA, EMPAREJAMIENTO"/>
    <s v="MEDIO"/>
    <n v="179"/>
    <n v="179"/>
    <m/>
    <m/>
    <m/>
    <m/>
    <m/>
    <n v="179"/>
    <n v="1"/>
    <s v="FINALIZADO"/>
  </r>
  <r>
    <x v="3"/>
    <d v="2025-06-30T00:00:00"/>
    <s v="MAURICIO JORGE MONTERO LOROÑO"/>
    <x v="13"/>
    <x v="0"/>
    <x v="44"/>
    <x v="0"/>
    <m/>
    <s v="MEDIO"/>
    <n v="1272"/>
    <n v="680"/>
    <n v="592"/>
    <m/>
    <m/>
    <m/>
    <m/>
    <n v="1272"/>
    <n v="1"/>
    <s v="FINALIZADO"/>
  </r>
  <r>
    <x v="3"/>
    <d v="2025-06-30T00:00:00"/>
    <s v="MAURICIO JORGE MONTERO LOROÑO"/>
    <x v="12"/>
    <x v="0"/>
    <x v="45"/>
    <x v="0"/>
    <m/>
    <s v="MEDIO"/>
    <n v="514"/>
    <n v="514"/>
    <m/>
    <m/>
    <m/>
    <m/>
    <m/>
    <n v="514"/>
    <n v="1"/>
    <s v="FINALIZAD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A99F59-2D45-40DF-AB06-90906F5E54F2}" name="TablaDinámica30" cacheId="4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68:A69" firstHeaderRow="1" firstDataRow="1" firstDataCol="0"/>
  <pivotFields count="19">
    <pivotField numFmtId="14" showAll="0">
      <items count="20">
        <item x="7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t="default"/>
      </items>
    </pivotField>
    <pivotField showAll="0"/>
    <pivotField showAll="0"/>
    <pivotField showAll="0">
      <items count="24">
        <item x="0"/>
        <item x="4"/>
        <item m="1" x="16"/>
        <item x="3"/>
        <item x="5"/>
        <item x="11"/>
        <item x="1"/>
        <item m="1" x="19"/>
        <item m="1" x="18"/>
        <item m="1" x="15"/>
        <item m="1" x="21"/>
        <item x="6"/>
        <item x="13"/>
        <item x="8"/>
        <item m="1" x="14"/>
        <item x="10"/>
        <item x="9"/>
        <item x="12"/>
        <item x="2"/>
        <item m="1" x="20"/>
        <item m="1" x="17"/>
        <item x="7"/>
        <item m="1" x="22"/>
        <item t="default"/>
      </items>
    </pivotField>
    <pivotField showAll="0">
      <items count="9">
        <item x="6"/>
        <item x="3"/>
        <item x="1"/>
        <item m="1" x="7"/>
        <item x="0"/>
        <item x="4"/>
        <item x="5"/>
        <item x="2"/>
        <item t="default"/>
      </items>
    </pivotField>
    <pivotField showAll="0">
      <items count="87">
        <item m="1" x="84"/>
        <item x="1"/>
        <item x="25"/>
        <item m="1" x="79"/>
        <item m="1" x="85"/>
        <item m="1" x="82"/>
        <item m="1" x="81"/>
        <item m="1" x="80"/>
        <item x="44"/>
        <item x="27"/>
        <item x="36"/>
        <item x="28"/>
        <item x="31"/>
        <item x="7"/>
        <item x="16"/>
        <item m="1" x="49"/>
        <item x="19"/>
        <item m="1" x="73"/>
        <item m="1" x="74"/>
        <item m="1" x="75"/>
        <item x="29"/>
        <item x="4"/>
        <item x="10"/>
        <item m="1" x="50"/>
        <item x="18"/>
        <item x="26"/>
        <item x="41"/>
        <item m="1" x="51"/>
        <item x="24"/>
        <item m="1" x="83"/>
        <item x="8"/>
        <item m="1" x="71"/>
        <item x="11"/>
        <item m="1" x="52"/>
        <item x="32"/>
        <item m="1" x="76"/>
        <item m="1" x="53"/>
        <item m="1" x="62"/>
        <item m="1" x="63"/>
        <item x="21"/>
        <item x="20"/>
        <item m="1" x="54"/>
        <item x="34"/>
        <item m="1" x="47"/>
        <item x="0"/>
        <item x="35"/>
        <item m="1" x="77"/>
        <item m="1" x="68"/>
        <item m="1" x="69"/>
        <item m="1" x="70"/>
        <item m="1" x="55"/>
        <item m="1" x="46"/>
        <item m="1" x="56"/>
        <item m="1" x="64"/>
        <item x="40"/>
        <item x="5"/>
        <item x="17"/>
        <item x="12"/>
        <item x="33"/>
        <item x="3"/>
        <item x="30"/>
        <item x="45"/>
        <item x="6"/>
        <item x="39"/>
        <item x="38"/>
        <item m="1" x="65"/>
        <item x="37"/>
        <item m="1" x="66"/>
        <item m="1" x="48"/>
        <item m="1" x="60"/>
        <item m="1" x="61"/>
        <item m="1" x="67"/>
        <item x="13"/>
        <item x="14"/>
        <item x="9"/>
        <item m="1" x="57"/>
        <item m="1" x="78"/>
        <item m="1" x="58"/>
        <item m="1" x="59"/>
        <item x="42"/>
        <item x="23"/>
        <item x="15"/>
        <item x="22"/>
        <item x="43"/>
        <item m="1" x="72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Items count="1">
    <i/>
  </rowItems>
  <colItems count="1">
    <i/>
  </colItems>
  <dataFields count="1">
    <dataField name="Suma de CARGA DE AVANCE 6" fld="15" baseField="0" baseItem="0"/>
  </dataFields>
  <formats count="1">
    <format dxfId="12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F31FAD-94DF-4CFA-BE33-DC3EB9E86B51}" name="TablaDinámica19" cacheId="4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20:A21" firstHeaderRow="1" firstDataRow="1" firstDataCol="0"/>
  <pivotFields count="19">
    <pivotField numFmtId="14" showAll="0">
      <items count="20">
        <item x="7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t="default"/>
      </items>
    </pivotField>
    <pivotField showAll="0"/>
    <pivotField showAll="0"/>
    <pivotField showAll="0" sortType="descending">
      <items count="24">
        <item x="0"/>
        <item x="4"/>
        <item m="1" x="16"/>
        <item x="3"/>
        <item x="5"/>
        <item x="11"/>
        <item x="1"/>
        <item m="1" x="19"/>
        <item m="1" x="18"/>
        <item m="1" x="15"/>
        <item m="1" x="21"/>
        <item x="6"/>
        <item x="13"/>
        <item x="8"/>
        <item m="1" x="14"/>
        <item x="10"/>
        <item x="9"/>
        <item x="12"/>
        <item x="2"/>
        <item m="1" x="20"/>
        <item m="1" x="17"/>
        <item x="7"/>
        <item m="1" x="2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9">
        <item x="6"/>
        <item x="3"/>
        <item x="1"/>
        <item m="1" x="7"/>
        <item x="0"/>
        <item x="4"/>
        <item x="5"/>
        <item x="2"/>
        <item t="default"/>
      </items>
    </pivotField>
    <pivotField showAll="0">
      <items count="87">
        <item m="1" x="84"/>
        <item x="1"/>
        <item x="25"/>
        <item m="1" x="79"/>
        <item m="1" x="85"/>
        <item m="1" x="82"/>
        <item m="1" x="81"/>
        <item m="1" x="80"/>
        <item x="44"/>
        <item x="27"/>
        <item x="36"/>
        <item x="28"/>
        <item x="31"/>
        <item x="7"/>
        <item x="16"/>
        <item m="1" x="49"/>
        <item x="19"/>
        <item m="1" x="73"/>
        <item m="1" x="74"/>
        <item m="1" x="75"/>
        <item x="29"/>
        <item x="4"/>
        <item x="10"/>
        <item m="1" x="50"/>
        <item x="18"/>
        <item x="26"/>
        <item x="41"/>
        <item m="1" x="51"/>
        <item x="24"/>
        <item m="1" x="83"/>
        <item x="8"/>
        <item m="1" x="71"/>
        <item x="11"/>
        <item m="1" x="52"/>
        <item x="32"/>
        <item m="1" x="76"/>
        <item m="1" x="53"/>
        <item m="1" x="62"/>
        <item m="1" x="63"/>
        <item x="21"/>
        <item x="20"/>
        <item m="1" x="54"/>
        <item x="34"/>
        <item m="1" x="47"/>
        <item x="0"/>
        <item x="35"/>
        <item m="1" x="77"/>
        <item m="1" x="68"/>
        <item m="1" x="69"/>
        <item m="1" x="70"/>
        <item m="1" x="55"/>
        <item m="1" x="46"/>
        <item m="1" x="56"/>
        <item m="1" x="64"/>
        <item x="40"/>
        <item x="5"/>
        <item x="17"/>
        <item x="12"/>
        <item x="33"/>
        <item x="3"/>
        <item x="30"/>
        <item x="45"/>
        <item x="6"/>
        <item x="39"/>
        <item x="38"/>
        <item m="1" x="65"/>
        <item x="37"/>
        <item m="1" x="66"/>
        <item m="1" x="48"/>
        <item m="1" x="60"/>
        <item m="1" x="61"/>
        <item m="1" x="67"/>
        <item x="13"/>
        <item x="14"/>
        <item x="9"/>
        <item m="1" x="57"/>
        <item m="1" x="78"/>
        <item m="1" x="58"/>
        <item m="1" x="59"/>
        <item x="42"/>
        <item x="23"/>
        <item x="15"/>
        <item x="22"/>
        <item x="43"/>
        <item m="1" x="72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Items count="1">
    <i/>
  </rowItems>
  <colItems count="1">
    <i/>
  </colItems>
  <dataFields count="1">
    <dataField name="Promedio de % AVANCE" fld="17" subtotal="average" baseField="2" baseItem="0" numFmtId="9"/>
  </dataFields>
  <formats count="1">
    <format dxfId="12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7D5E26-DD3E-4845-BF3A-3C772B627D18}" name="TablaDinámica25" cacheId="4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53:A54" firstHeaderRow="1" firstDataRow="1" firstDataCol="0"/>
  <pivotFields count="19">
    <pivotField numFmtId="14" showAll="0">
      <items count="20">
        <item x="7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t="default"/>
      </items>
    </pivotField>
    <pivotField showAll="0"/>
    <pivotField showAll="0"/>
    <pivotField showAll="0">
      <items count="24">
        <item x="0"/>
        <item x="4"/>
        <item m="1" x="16"/>
        <item x="3"/>
        <item x="5"/>
        <item x="11"/>
        <item x="1"/>
        <item m="1" x="19"/>
        <item m="1" x="18"/>
        <item m="1" x="15"/>
        <item m="1" x="21"/>
        <item x="6"/>
        <item x="13"/>
        <item x="8"/>
        <item m="1" x="14"/>
        <item x="10"/>
        <item x="9"/>
        <item x="12"/>
        <item x="2"/>
        <item m="1" x="20"/>
        <item m="1" x="17"/>
        <item x="7"/>
        <item m="1" x="22"/>
        <item t="default"/>
      </items>
    </pivotField>
    <pivotField showAll="0">
      <items count="9">
        <item x="6"/>
        <item x="3"/>
        <item x="1"/>
        <item m="1" x="7"/>
        <item x="0"/>
        <item x="4"/>
        <item x="5"/>
        <item x="2"/>
        <item t="default"/>
      </items>
    </pivotField>
    <pivotField showAll="0">
      <items count="87">
        <item m="1" x="84"/>
        <item x="1"/>
        <item x="25"/>
        <item m="1" x="79"/>
        <item m="1" x="85"/>
        <item m="1" x="82"/>
        <item m="1" x="81"/>
        <item m="1" x="80"/>
        <item x="44"/>
        <item x="27"/>
        <item x="36"/>
        <item x="28"/>
        <item x="31"/>
        <item x="7"/>
        <item x="16"/>
        <item m="1" x="49"/>
        <item x="19"/>
        <item m="1" x="73"/>
        <item m="1" x="74"/>
        <item m="1" x="75"/>
        <item x="29"/>
        <item x="4"/>
        <item x="10"/>
        <item m="1" x="50"/>
        <item x="18"/>
        <item x="26"/>
        <item x="41"/>
        <item m="1" x="51"/>
        <item x="24"/>
        <item m="1" x="83"/>
        <item x="8"/>
        <item m="1" x="71"/>
        <item x="11"/>
        <item m="1" x="52"/>
        <item x="32"/>
        <item m="1" x="76"/>
        <item m="1" x="53"/>
        <item m="1" x="62"/>
        <item m="1" x="63"/>
        <item x="21"/>
        <item x="20"/>
        <item m="1" x="54"/>
        <item x="34"/>
        <item m="1" x="47"/>
        <item x="0"/>
        <item x="35"/>
        <item m="1" x="77"/>
        <item m="1" x="68"/>
        <item m="1" x="69"/>
        <item m="1" x="70"/>
        <item m="1" x="55"/>
        <item m="1" x="46"/>
        <item m="1" x="56"/>
        <item m="1" x="64"/>
        <item x="40"/>
        <item x="5"/>
        <item x="17"/>
        <item x="12"/>
        <item x="33"/>
        <item x="3"/>
        <item x="30"/>
        <item x="45"/>
        <item x="6"/>
        <item x="39"/>
        <item x="38"/>
        <item m="1" x="65"/>
        <item x="37"/>
        <item m="1" x="66"/>
        <item m="1" x="48"/>
        <item m="1" x="60"/>
        <item m="1" x="61"/>
        <item m="1" x="67"/>
        <item x="13"/>
        <item x="14"/>
        <item x="9"/>
        <item m="1" x="57"/>
        <item m="1" x="78"/>
        <item m="1" x="58"/>
        <item m="1" x="59"/>
        <item x="42"/>
        <item x="23"/>
        <item x="15"/>
        <item x="22"/>
        <item x="43"/>
        <item m="1" x="72"/>
        <item x="2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uma de CARGA DE AVANCE 1" fld="10" baseField="0" baseItem="0" numFmtId="3"/>
  </dataFields>
  <formats count="2">
    <format dxfId="130">
      <pivotArea outline="0" collapsedLevelsAreSubtotals="1" fieldPosition="0"/>
    </format>
    <format dxfId="129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33B1D4-CAF7-4541-AC7E-78E5548684CC}" name="TablaDinámica21" cacheId="4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32:B34" firstHeaderRow="1" firstDataRow="1" firstDataCol="1"/>
  <pivotFields count="19">
    <pivotField numFmtId="14" showAll="0">
      <items count="20">
        <item x="7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t="default"/>
      </items>
    </pivotField>
    <pivotField showAll="0"/>
    <pivotField showAll="0"/>
    <pivotField showAll="0" sortType="descending">
      <items count="24">
        <item x="0"/>
        <item x="4"/>
        <item m="1" x="16"/>
        <item x="3"/>
        <item x="5"/>
        <item x="11"/>
        <item x="1"/>
        <item m="1" x="19"/>
        <item m="1" x="18"/>
        <item m="1" x="15"/>
        <item m="1" x="21"/>
        <item x="6"/>
        <item x="13"/>
        <item x="8"/>
        <item m="1" x="14"/>
        <item x="10"/>
        <item x="9"/>
        <item x="12"/>
        <item x="2"/>
        <item m="1" x="20"/>
        <item m="1" x="17"/>
        <item x="7"/>
        <item m="1" x="2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9">
        <item x="6"/>
        <item x="3"/>
        <item x="1"/>
        <item m="1" x="7"/>
        <item x="0"/>
        <item x="4"/>
        <item x="5"/>
        <item x="2"/>
        <item t="default"/>
      </items>
    </pivotField>
    <pivotField showAll="0">
      <items count="87">
        <item m="1" x="84"/>
        <item x="1"/>
        <item x="25"/>
        <item m="1" x="79"/>
        <item m="1" x="85"/>
        <item m="1" x="82"/>
        <item m="1" x="81"/>
        <item m="1" x="80"/>
        <item x="44"/>
        <item x="27"/>
        <item x="36"/>
        <item x="28"/>
        <item x="31"/>
        <item x="7"/>
        <item x="16"/>
        <item m="1" x="49"/>
        <item x="19"/>
        <item m="1" x="73"/>
        <item m="1" x="74"/>
        <item m="1" x="75"/>
        <item x="29"/>
        <item x="4"/>
        <item x="10"/>
        <item m="1" x="50"/>
        <item x="18"/>
        <item x="26"/>
        <item x="41"/>
        <item m="1" x="51"/>
        <item x="24"/>
        <item m="1" x="83"/>
        <item x="8"/>
        <item m="1" x="71"/>
        <item x="11"/>
        <item m="1" x="52"/>
        <item x="32"/>
        <item m="1" x="76"/>
        <item m="1" x="53"/>
        <item m="1" x="62"/>
        <item m="1" x="63"/>
        <item x="21"/>
        <item x="20"/>
        <item m="1" x="54"/>
        <item x="34"/>
        <item m="1" x="47"/>
        <item x="0"/>
        <item x="35"/>
        <item m="1" x="77"/>
        <item m="1" x="68"/>
        <item m="1" x="69"/>
        <item m="1" x="70"/>
        <item m="1" x="55"/>
        <item m="1" x="46"/>
        <item m="1" x="56"/>
        <item m="1" x="64"/>
        <item x="40"/>
        <item x="5"/>
        <item x="17"/>
        <item x="12"/>
        <item x="33"/>
        <item x="3"/>
        <item x="30"/>
        <item x="45"/>
        <item x="6"/>
        <item x="39"/>
        <item x="38"/>
        <item m="1" x="65"/>
        <item x="37"/>
        <item m="1" x="66"/>
        <item m="1" x="48"/>
        <item m="1" x="60"/>
        <item m="1" x="61"/>
        <item m="1" x="67"/>
        <item x="13"/>
        <item x="14"/>
        <item x="9"/>
        <item m="1" x="57"/>
        <item m="1" x="78"/>
        <item m="1" x="58"/>
        <item m="1" x="59"/>
        <item x="42"/>
        <item x="23"/>
        <item x="15"/>
        <item x="22"/>
        <item x="43"/>
        <item m="1" x="72"/>
        <item x="2"/>
        <item t="default"/>
      </items>
    </pivotField>
    <pivotField axis="axisRow" showAll="0">
      <items count="7">
        <item h="1" x="0"/>
        <item x="2"/>
        <item h="1" x="1"/>
        <item h="1" m="1" x="4"/>
        <item h="1" m="1" x="5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6"/>
  </rowFields>
  <rowItems count="2">
    <i>
      <x v="1"/>
    </i>
    <i t="grand">
      <x/>
    </i>
  </rowItems>
  <colItems count="1">
    <i/>
  </colItems>
  <dataFields count="1">
    <dataField name="Promedio de % AVANCE" fld="17" subtotal="average" baseField="2" baseItem="0" numFmtId="9"/>
  </dataFields>
  <formats count="1">
    <format dxfId="13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485C1F-D29C-4703-B64D-1527FCC53DC4}" name="TablaDinámica20" cacheId="4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27:B29" firstHeaderRow="1" firstDataRow="1" firstDataCol="1"/>
  <pivotFields count="19">
    <pivotField numFmtId="14" showAll="0">
      <items count="20">
        <item x="7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t="default"/>
      </items>
    </pivotField>
    <pivotField showAll="0"/>
    <pivotField showAll="0"/>
    <pivotField showAll="0" sortType="descending">
      <items count="24">
        <item x="0"/>
        <item x="4"/>
        <item m="1" x="16"/>
        <item x="3"/>
        <item x="5"/>
        <item x="11"/>
        <item x="1"/>
        <item m="1" x="19"/>
        <item m="1" x="18"/>
        <item m="1" x="15"/>
        <item m="1" x="21"/>
        <item x="6"/>
        <item x="13"/>
        <item x="8"/>
        <item m="1" x="14"/>
        <item x="10"/>
        <item x="9"/>
        <item x="12"/>
        <item x="2"/>
        <item m="1" x="20"/>
        <item m="1" x="17"/>
        <item x="7"/>
        <item m="1" x="2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9">
        <item x="6"/>
        <item x="3"/>
        <item x="1"/>
        <item m="1" x="7"/>
        <item x="0"/>
        <item x="4"/>
        <item x="5"/>
        <item x="2"/>
        <item t="default"/>
      </items>
    </pivotField>
    <pivotField showAll="0">
      <items count="87">
        <item m="1" x="84"/>
        <item x="1"/>
        <item x="25"/>
        <item m="1" x="79"/>
        <item m="1" x="85"/>
        <item m="1" x="82"/>
        <item m="1" x="81"/>
        <item m="1" x="80"/>
        <item x="44"/>
        <item x="27"/>
        <item x="36"/>
        <item x="28"/>
        <item x="31"/>
        <item x="7"/>
        <item x="16"/>
        <item m="1" x="49"/>
        <item x="19"/>
        <item m="1" x="73"/>
        <item m="1" x="74"/>
        <item m="1" x="75"/>
        <item x="29"/>
        <item x="4"/>
        <item x="10"/>
        <item m="1" x="50"/>
        <item x="18"/>
        <item x="26"/>
        <item x="41"/>
        <item m="1" x="51"/>
        <item x="24"/>
        <item m="1" x="83"/>
        <item x="8"/>
        <item m="1" x="71"/>
        <item x="11"/>
        <item m="1" x="52"/>
        <item x="32"/>
        <item m="1" x="76"/>
        <item m="1" x="53"/>
        <item m="1" x="62"/>
        <item m="1" x="63"/>
        <item x="21"/>
        <item x="20"/>
        <item m="1" x="54"/>
        <item x="34"/>
        <item m="1" x="47"/>
        <item x="0"/>
        <item x="35"/>
        <item m="1" x="77"/>
        <item m="1" x="68"/>
        <item m="1" x="69"/>
        <item m="1" x="70"/>
        <item m="1" x="55"/>
        <item m="1" x="46"/>
        <item m="1" x="56"/>
        <item m="1" x="64"/>
        <item x="40"/>
        <item x="5"/>
        <item x="17"/>
        <item x="12"/>
        <item x="33"/>
        <item x="3"/>
        <item x="30"/>
        <item x="45"/>
        <item x="6"/>
        <item x="39"/>
        <item x="38"/>
        <item m="1" x="65"/>
        <item x="37"/>
        <item m="1" x="66"/>
        <item m="1" x="48"/>
        <item m="1" x="60"/>
        <item m="1" x="61"/>
        <item m="1" x="67"/>
        <item x="13"/>
        <item x="14"/>
        <item x="9"/>
        <item m="1" x="57"/>
        <item m="1" x="78"/>
        <item m="1" x="58"/>
        <item m="1" x="59"/>
        <item x="42"/>
        <item x="23"/>
        <item x="15"/>
        <item x="22"/>
        <item x="43"/>
        <item m="1" x="72"/>
        <item x="2"/>
        <item t="default"/>
      </items>
    </pivotField>
    <pivotField axis="axisRow" showAll="0">
      <items count="7">
        <item x="0"/>
        <item h="1" x="2"/>
        <item h="1" x="1"/>
        <item h="1" m="1" x="4"/>
        <item h="1" m="1" x="5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6"/>
  </rowFields>
  <rowItems count="2">
    <i>
      <x/>
    </i>
    <i t="grand">
      <x/>
    </i>
  </rowItems>
  <colItems count="1">
    <i/>
  </colItems>
  <dataFields count="1">
    <dataField name="Promedio de % AVANCE" fld="17" subtotal="average" baseField="2" baseItem="0" numFmtId="9"/>
  </dataFields>
  <formats count="1">
    <format dxfId="13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4960EF-E490-4CC9-BBB7-DAD46810B2E3}" name="TablaDinámica23" cacheId="4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42:B43" firstHeaderRow="1" firstDataRow="1" firstDataCol="1"/>
  <pivotFields count="19">
    <pivotField numFmtId="14" showAll="0">
      <items count="20">
        <item x="7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t="default"/>
      </items>
    </pivotField>
    <pivotField showAll="0"/>
    <pivotField showAll="0"/>
    <pivotField showAll="0" sortType="descending">
      <items count="24">
        <item x="0"/>
        <item x="4"/>
        <item m="1" x="16"/>
        <item x="3"/>
        <item x="5"/>
        <item x="11"/>
        <item x="1"/>
        <item m="1" x="19"/>
        <item m="1" x="18"/>
        <item m="1" x="15"/>
        <item m="1" x="21"/>
        <item x="6"/>
        <item x="13"/>
        <item x="8"/>
        <item m="1" x="14"/>
        <item x="10"/>
        <item x="9"/>
        <item x="12"/>
        <item x="2"/>
        <item m="1" x="20"/>
        <item m="1" x="17"/>
        <item x="7"/>
        <item m="1" x="2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9">
        <item x="6"/>
        <item x="3"/>
        <item x="1"/>
        <item m="1" x="7"/>
        <item x="0"/>
        <item x="4"/>
        <item x="5"/>
        <item x="2"/>
        <item t="default"/>
      </items>
    </pivotField>
    <pivotField showAll="0">
      <items count="87">
        <item m="1" x="84"/>
        <item x="1"/>
        <item x="25"/>
        <item m="1" x="79"/>
        <item m="1" x="85"/>
        <item m="1" x="82"/>
        <item m="1" x="81"/>
        <item m="1" x="80"/>
        <item x="44"/>
        <item x="27"/>
        <item x="36"/>
        <item x="28"/>
        <item x="31"/>
        <item x="7"/>
        <item x="16"/>
        <item m="1" x="49"/>
        <item x="19"/>
        <item m="1" x="73"/>
        <item m="1" x="74"/>
        <item m="1" x="75"/>
        <item x="29"/>
        <item x="4"/>
        <item x="10"/>
        <item m="1" x="50"/>
        <item x="18"/>
        <item x="26"/>
        <item x="41"/>
        <item m="1" x="51"/>
        <item x="24"/>
        <item m="1" x="83"/>
        <item x="8"/>
        <item m="1" x="71"/>
        <item x="11"/>
        <item m="1" x="52"/>
        <item x="32"/>
        <item m="1" x="76"/>
        <item m="1" x="53"/>
        <item m="1" x="62"/>
        <item m="1" x="63"/>
        <item x="21"/>
        <item x="20"/>
        <item m="1" x="54"/>
        <item x="34"/>
        <item m="1" x="47"/>
        <item x="0"/>
        <item x="35"/>
        <item m="1" x="77"/>
        <item m="1" x="68"/>
        <item m="1" x="69"/>
        <item m="1" x="70"/>
        <item m="1" x="55"/>
        <item m="1" x="46"/>
        <item m="1" x="56"/>
        <item m="1" x="64"/>
        <item x="40"/>
        <item x="5"/>
        <item x="17"/>
        <item x="12"/>
        <item x="33"/>
        <item x="3"/>
        <item x="30"/>
        <item x="45"/>
        <item x="6"/>
        <item x="39"/>
        <item x="38"/>
        <item m="1" x="65"/>
        <item x="37"/>
        <item m="1" x="66"/>
        <item m="1" x="48"/>
        <item m="1" x="60"/>
        <item m="1" x="61"/>
        <item m="1" x="67"/>
        <item x="13"/>
        <item x="14"/>
        <item x="9"/>
        <item m="1" x="57"/>
        <item m="1" x="78"/>
        <item m="1" x="58"/>
        <item m="1" x="59"/>
        <item x="42"/>
        <item x="23"/>
        <item x="15"/>
        <item x="22"/>
        <item x="43"/>
        <item m="1" x="72"/>
        <item x="2"/>
        <item t="default"/>
      </items>
    </pivotField>
    <pivotField axis="axisRow" showAll="0">
      <items count="7">
        <item h="1" x="0"/>
        <item h="1" x="2"/>
        <item h="1" x="1"/>
        <item m="1" x="4"/>
        <item h="1" m="1" x="5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6"/>
  </rowFields>
  <rowItems count="1">
    <i t="grand">
      <x/>
    </i>
  </rowItems>
  <colItems count="1">
    <i/>
  </colItems>
  <dataFields count="1">
    <dataField name="Promedio de % AVANCE" fld="17" subtotal="average" baseField="2" baseItem="0" numFmtId="9"/>
  </dataFields>
  <formats count="1">
    <format dxfId="13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930772-0E26-4CBE-959C-70C99A0F4522}" name="TablaDinámica28" cacheId="4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62:A63" firstHeaderRow="1" firstDataRow="1" firstDataCol="0"/>
  <pivotFields count="19">
    <pivotField numFmtId="14" showAll="0">
      <items count="20">
        <item x="7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t="default"/>
      </items>
    </pivotField>
    <pivotField showAll="0"/>
    <pivotField showAll="0"/>
    <pivotField showAll="0">
      <items count="24">
        <item x="0"/>
        <item x="4"/>
        <item m="1" x="16"/>
        <item x="3"/>
        <item x="5"/>
        <item x="11"/>
        <item x="1"/>
        <item m="1" x="19"/>
        <item m="1" x="18"/>
        <item m="1" x="15"/>
        <item m="1" x="21"/>
        <item x="6"/>
        <item x="13"/>
        <item x="8"/>
        <item m="1" x="14"/>
        <item x="10"/>
        <item x="9"/>
        <item x="12"/>
        <item x="2"/>
        <item m="1" x="20"/>
        <item m="1" x="17"/>
        <item x="7"/>
        <item m="1" x="22"/>
        <item t="default"/>
      </items>
    </pivotField>
    <pivotField showAll="0">
      <items count="9">
        <item x="6"/>
        <item x="3"/>
        <item x="1"/>
        <item m="1" x="7"/>
        <item x="0"/>
        <item x="4"/>
        <item x="5"/>
        <item x="2"/>
        <item t="default"/>
      </items>
    </pivotField>
    <pivotField showAll="0">
      <items count="87">
        <item m="1" x="84"/>
        <item x="1"/>
        <item x="25"/>
        <item m="1" x="79"/>
        <item m="1" x="85"/>
        <item m="1" x="82"/>
        <item m="1" x="81"/>
        <item m="1" x="80"/>
        <item x="44"/>
        <item x="27"/>
        <item x="36"/>
        <item x="28"/>
        <item x="31"/>
        <item x="7"/>
        <item x="16"/>
        <item m="1" x="49"/>
        <item x="19"/>
        <item m="1" x="73"/>
        <item m="1" x="74"/>
        <item m="1" x="75"/>
        <item x="29"/>
        <item x="4"/>
        <item x="10"/>
        <item m="1" x="50"/>
        <item x="18"/>
        <item x="26"/>
        <item x="41"/>
        <item m="1" x="51"/>
        <item x="24"/>
        <item m="1" x="83"/>
        <item x="8"/>
        <item m="1" x="71"/>
        <item x="11"/>
        <item m="1" x="52"/>
        <item x="32"/>
        <item m="1" x="76"/>
        <item m="1" x="53"/>
        <item m="1" x="62"/>
        <item m="1" x="63"/>
        <item x="21"/>
        <item x="20"/>
        <item m="1" x="54"/>
        <item x="34"/>
        <item m="1" x="47"/>
        <item x="0"/>
        <item x="35"/>
        <item m="1" x="77"/>
        <item m="1" x="68"/>
        <item m="1" x="69"/>
        <item m="1" x="70"/>
        <item m="1" x="55"/>
        <item m="1" x="46"/>
        <item m="1" x="56"/>
        <item m="1" x="64"/>
        <item x="40"/>
        <item x="5"/>
        <item x="17"/>
        <item x="12"/>
        <item x="33"/>
        <item x="3"/>
        <item x="30"/>
        <item x="45"/>
        <item x="6"/>
        <item x="39"/>
        <item x="38"/>
        <item m="1" x="65"/>
        <item x="37"/>
        <item m="1" x="66"/>
        <item m="1" x="48"/>
        <item m="1" x="60"/>
        <item m="1" x="61"/>
        <item m="1" x="67"/>
        <item x="13"/>
        <item x="14"/>
        <item x="9"/>
        <item m="1" x="57"/>
        <item m="1" x="78"/>
        <item m="1" x="58"/>
        <item m="1" x="59"/>
        <item x="42"/>
        <item x="23"/>
        <item x="15"/>
        <item x="22"/>
        <item x="43"/>
        <item m="1" x="72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uma de CARGA DE AVANCE 4" fld="13" baseField="0" baseItem="0"/>
  </dataFields>
  <formats count="1">
    <format dxfId="13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20C6A-9E08-4DE5-930A-A33EB8B62B48}" name="TablaDinámica18" cacheId="4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9">
  <location ref="A3:B18" firstHeaderRow="1" firstDataRow="1" firstDataCol="1"/>
  <pivotFields count="19">
    <pivotField numFmtId="14" showAll="0">
      <items count="20">
        <item x="7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t="default"/>
      </items>
    </pivotField>
    <pivotField showAll="0"/>
    <pivotField showAll="0"/>
    <pivotField axis="axisRow" showAll="0" sortType="descending">
      <items count="24">
        <item m="1" x="16"/>
        <item m="1" x="19"/>
        <item m="1" x="18"/>
        <item m="1" x="15"/>
        <item m="1" x="21"/>
        <item m="1" x="14"/>
        <item m="1" x="20"/>
        <item m="1" x="17"/>
        <item m="1" x="2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9">
        <item x="6"/>
        <item x="3"/>
        <item x="1"/>
        <item m="1" x="7"/>
        <item x="0"/>
        <item x="4"/>
        <item x="5"/>
        <item x="2"/>
        <item t="default"/>
      </items>
    </pivotField>
    <pivotField showAll="0">
      <items count="87">
        <item m="1" x="84"/>
        <item x="1"/>
        <item x="25"/>
        <item m="1" x="79"/>
        <item m="1" x="85"/>
        <item m="1" x="82"/>
        <item m="1" x="81"/>
        <item m="1" x="80"/>
        <item x="44"/>
        <item x="27"/>
        <item x="36"/>
        <item x="28"/>
        <item x="31"/>
        <item x="7"/>
        <item x="16"/>
        <item m="1" x="49"/>
        <item x="19"/>
        <item m="1" x="73"/>
        <item m="1" x="74"/>
        <item m="1" x="75"/>
        <item x="29"/>
        <item x="4"/>
        <item x="10"/>
        <item m="1" x="50"/>
        <item x="18"/>
        <item x="26"/>
        <item x="41"/>
        <item m="1" x="51"/>
        <item x="24"/>
        <item m="1" x="83"/>
        <item x="8"/>
        <item m="1" x="71"/>
        <item x="11"/>
        <item m="1" x="52"/>
        <item x="32"/>
        <item m="1" x="76"/>
        <item m="1" x="53"/>
        <item m="1" x="62"/>
        <item m="1" x="63"/>
        <item x="21"/>
        <item x="20"/>
        <item m="1" x="54"/>
        <item x="34"/>
        <item m="1" x="47"/>
        <item x="0"/>
        <item x="35"/>
        <item m="1" x="77"/>
        <item m="1" x="68"/>
        <item m="1" x="69"/>
        <item m="1" x="70"/>
        <item m="1" x="55"/>
        <item m="1" x="46"/>
        <item m="1" x="56"/>
        <item m="1" x="64"/>
        <item x="40"/>
        <item x="5"/>
        <item x="17"/>
        <item x="12"/>
        <item x="33"/>
        <item x="3"/>
        <item x="30"/>
        <item x="45"/>
        <item x="6"/>
        <item x="39"/>
        <item x="38"/>
        <item m="1" x="65"/>
        <item x="37"/>
        <item m="1" x="66"/>
        <item m="1" x="48"/>
        <item m="1" x="60"/>
        <item m="1" x="61"/>
        <item m="1" x="67"/>
        <item x="13"/>
        <item x="14"/>
        <item x="9"/>
        <item m="1" x="57"/>
        <item m="1" x="78"/>
        <item m="1" x="58"/>
        <item m="1" x="59"/>
        <item x="42"/>
        <item x="23"/>
        <item x="15"/>
        <item x="22"/>
        <item x="43"/>
        <item m="1" x="72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3"/>
  </rowFields>
  <rowItems count="15">
    <i>
      <x v="21"/>
    </i>
    <i>
      <x v="18"/>
    </i>
    <i>
      <x v="17"/>
    </i>
    <i>
      <x v="10"/>
    </i>
    <i>
      <x v="20"/>
    </i>
    <i>
      <x v="14"/>
    </i>
    <i>
      <x v="22"/>
    </i>
    <i>
      <x v="9"/>
    </i>
    <i>
      <x v="19"/>
    </i>
    <i>
      <x v="13"/>
    </i>
    <i>
      <x v="12"/>
    </i>
    <i>
      <x v="11"/>
    </i>
    <i>
      <x v="16"/>
    </i>
    <i>
      <x v="15"/>
    </i>
    <i t="grand">
      <x/>
    </i>
  </rowItems>
  <colItems count="1">
    <i/>
  </colItems>
  <dataFields count="1">
    <dataField name="Promedio de % AVANCE" fld="17" subtotal="average" baseField="2" baseItem="0"/>
  </dataFields>
  <formats count="2">
    <format dxfId="136">
      <pivotArea collapsedLevelsAreSubtotals="1" fieldPosition="0">
        <references count="1">
          <reference field="3" count="0"/>
        </references>
      </pivotArea>
    </format>
    <format dxfId="135">
      <pivotArea grandRow="1" outline="0" collapsedLevelsAreSubtotals="1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ECD84F-AED3-4233-BB19-2FF4BF9F4DAB}" name="TablaDinámica27" cacheId="4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59:A60" firstHeaderRow="1" firstDataRow="1" firstDataCol="0"/>
  <pivotFields count="19">
    <pivotField numFmtId="14" showAll="0">
      <items count="20">
        <item x="7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t="default"/>
      </items>
    </pivotField>
    <pivotField showAll="0"/>
    <pivotField showAll="0"/>
    <pivotField showAll="0">
      <items count="24">
        <item x="0"/>
        <item x="4"/>
        <item m="1" x="16"/>
        <item x="3"/>
        <item x="5"/>
        <item x="11"/>
        <item x="1"/>
        <item m="1" x="19"/>
        <item m="1" x="18"/>
        <item m="1" x="15"/>
        <item m="1" x="21"/>
        <item x="6"/>
        <item x="13"/>
        <item x="8"/>
        <item m="1" x="14"/>
        <item x="10"/>
        <item x="9"/>
        <item x="12"/>
        <item x="2"/>
        <item m="1" x="20"/>
        <item m="1" x="17"/>
        <item x="7"/>
        <item m="1" x="22"/>
        <item t="default"/>
      </items>
    </pivotField>
    <pivotField showAll="0">
      <items count="9">
        <item x="6"/>
        <item x="3"/>
        <item x="1"/>
        <item m="1" x="7"/>
        <item x="0"/>
        <item x="4"/>
        <item x="5"/>
        <item x="2"/>
        <item t="default"/>
      </items>
    </pivotField>
    <pivotField showAll="0">
      <items count="87">
        <item m="1" x="84"/>
        <item x="1"/>
        <item x="25"/>
        <item m="1" x="79"/>
        <item m="1" x="85"/>
        <item m="1" x="82"/>
        <item m="1" x="81"/>
        <item m="1" x="80"/>
        <item x="44"/>
        <item x="27"/>
        <item x="36"/>
        <item x="28"/>
        <item x="31"/>
        <item x="7"/>
        <item x="16"/>
        <item m="1" x="49"/>
        <item x="19"/>
        <item m="1" x="73"/>
        <item m="1" x="74"/>
        <item m="1" x="75"/>
        <item x="29"/>
        <item x="4"/>
        <item x="10"/>
        <item m="1" x="50"/>
        <item x="18"/>
        <item x="26"/>
        <item x="41"/>
        <item m="1" x="51"/>
        <item x="24"/>
        <item m="1" x="83"/>
        <item x="8"/>
        <item m="1" x="71"/>
        <item x="11"/>
        <item m="1" x="52"/>
        <item x="32"/>
        <item m="1" x="76"/>
        <item m="1" x="53"/>
        <item m="1" x="62"/>
        <item m="1" x="63"/>
        <item x="21"/>
        <item x="20"/>
        <item m="1" x="54"/>
        <item x="34"/>
        <item m="1" x="47"/>
        <item x="0"/>
        <item x="35"/>
        <item m="1" x="77"/>
        <item m="1" x="68"/>
        <item m="1" x="69"/>
        <item m="1" x="70"/>
        <item m="1" x="55"/>
        <item m="1" x="46"/>
        <item m="1" x="56"/>
        <item m="1" x="64"/>
        <item x="40"/>
        <item x="5"/>
        <item x="17"/>
        <item x="12"/>
        <item x="33"/>
        <item x="3"/>
        <item x="30"/>
        <item x="45"/>
        <item x="6"/>
        <item x="39"/>
        <item x="38"/>
        <item m="1" x="65"/>
        <item x="37"/>
        <item m="1" x="66"/>
        <item m="1" x="48"/>
        <item m="1" x="60"/>
        <item m="1" x="61"/>
        <item m="1" x="67"/>
        <item x="13"/>
        <item x="14"/>
        <item x="9"/>
        <item m="1" x="57"/>
        <item m="1" x="78"/>
        <item m="1" x="58"/>
        <item m="1" x="59"/>
        <item x="42"/>
        <item x="23"/>
        <item x="15"/>
        <item x="22"/>
        <item x="43"/>
        <item m="1" x="72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uma de CARGA DE AVANCE 3" fld="12" baseField="0" baseItem="0"/>
  </dataFields>
  <formats count="1">
    <format dxfId="13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9A83EC-194C-47F9-B958-C637976B7CA1}" name="TablaDinámica24" cacheId="4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47:B48" firstHeaderRow="1" firstDataRow="1" firstDataCol="1"/>
  <pivotFields count="19">
    <pivotField numFmtId="14" showAll="0">
      <items count="20">
        <item x="7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t="default"/>
      </items>
    </pivotField>
    <pivotField showAll="0"/>
    <pivotField showAll="0"/>
    <pivotField showAll="0" sortType="descending">
      <items count="24">
        <item x="0"/>
        <item x="4"/>
        <item m="1" x="16"/>
        <item x="3"/>
        <item x="5"/>
        <item x="11"/>
        <item x="1"/>
        <item m="1" x="19"/>
        <item m="1" x="18"/>
        <item m="1" x="15"/>
        <item m="1" x="21"/>
        <item x="6"/>
        <item x="13"/>
        <item x="8"/>
        <item m="1" x="14"/>
        <item x="10"/>
        <item x="9"/>
        <item x="12"/>
        <item x="2"/>
        <item m="1" x="20"/>
        <item m="1" x="17"/>
        <item x="7"/>
        <item m="1" x="2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9">
        <item x="6"/>
        <item x="3"/>
        <item x="1"/>
        <item m="1" x="7"/>
        <item x="0"/>
        <item x="4"/>
        <item x="5"/>
        <item x="2"/>
        <item t="default"/>
      </items>
    </pivotField>
    <pivotField showAll="0">
      <items count="87">
        <item m="1" x="84"/>
        <item x="1"/>
        <item x="25"/>
        <item m="1" x="79"/>
        <item m="1" x="85"/>
        <item m="1" x="82"/>
        <item m="1" x="81"/>
        <item m="1" x="80"/>
        <item x="44"/>
        <item x="27"/>
        <item x="36"/>
        <item x="28"/>
        <item x="31"/>
        <item x="7"/>
        <item x="16"/>
        <item m="1" x="49"/>
        <item x="19"/>
        <item m="1" x="73"/>
        <item m="1" x="74"/>
        <item m="1" x="75"/>
        <item x="29"/>
        <item x="4"/>
        <item x="10"/>
        <item m="1" x="50"/>
        <item x="18"/>
        <item x="26"/>
        <item x="41"/>
        <item m="1" x="51"/>
        <item x="24"/>
        <item m="1" x="83"/>
        <item x="8"/>
        <item m="1" x="71"/>
        <item x="11"/>
        <item m="1" x="52"/>
        <item x="32"/>
        <item m="1" x="76"/>
        <item m="1" x="53"/>
        <item m="1" x="62"/>
        <item m="1" x="63"/>
        <item x="21"/>
        <item x="20"/>
        <item m="1" x="54"/>
        <item x="34"/>
        <item m="1" x="47"/>
        <item x="0"/>
        <item x="35"/>
        <item m="1" x="77"/>
        <item m="1" x="68"/>
        <item m="1" x="69"/>
        <item m="1" x="70"/>
        <item m="1" x="55"/>
        <item m="1" x="46"/>
        <item m="1" x="56"/>
        <item m="1" x="64"/>
        <item x="40"/>
        <item x="5"/>
        <item x="17"/>
        <item x="12"/>
        <item x="33"/>
        <item x="3"/>
        <item x="30"/>
        <item x="45"/>
        <item x="6"/>
        <item x="39"/>
        <item x="38"/>
        <item m="1" x="65"/>
        <item x="37"/>
        <item m="1" x="66"/>
        <item m="1" x="48"/>
        <item m="1" x="60"/>
        <item m="1" x="61"/>
        <item m="1" x="67"/>
        <item x="13"/>
        <item x="14"/>
        <item x="9"/>
        <item m="1" x="57"/>
        <item m="1" x="78"/>
        <item m="1" x="58"/>
        <item m="1" x="59"/>
        <item x="42"/>
        <item x="23"/>
        <item x="15"/>
        <item x="22"/>
        <item x="43"/>
        <item m="1" x="72"/>
        <item x="2"/>
        <item t="default"/>
      </items>
    </pivotField>
    <pivotField axis="axisRow" showAll="0">
      <items count="7">
        <item h="1" x="0"/>
        <item h="1" x="2"/>
        <item h="1" x="1"/>
        <item h="1" m="1" x="4"/>
        <item m="1" x="5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6"/>
  </rowFields>
  <rowItems count="1">
    <i t="grand">
      <x/>
    </i>
  </rowItems>
  <colItems count="1">
    <i/>
  </colItems>
  <dataFields count="1">
    <dataField name="Promedio de % AVANCE" fld="17" subtotal="average" baseField="2" baseItem="0" numFmtId="9"/>
  </dataFields>
  <formats count="1">
    <format dxfId="13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B0A923-F472-4D1E-A780-D41FE26EB06E}" name="TablaDinámica29" cacheId="4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65:A66" firstHeaderRow="1" firstDataRow="1" firstDataCol="0"/>
  <pivotFields count="19">
    <pivotField numFmtId="14" showAll="0">
      <items count="20">
        <item x="7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t="default"/>
      </items>
    </pivotField>
    <pivotField showAll="0"/>
    <pivotField showAll="0"/>
    <pivotField showAll="0">
      <items count="24">
        <item x="0"/>
        <item x="4"/>
        <item m="1" x="16"/>
        <item x="3"/>
        <item x="5"/>
        <item x="11"/>
        <item x="1"/>
        <item m="1" x="19"/>
        <item m="1" x="18"/>
        <item m="1" x="15"/>
        <item m="1" x="21"/>
        <item x="6"/>
        <item x="13"/>
        <item x="8"/>
        <item m="1" x="14"/>
        <item x="10"/>
        <item x="9"/>
        <item x="12"/>
        <item x="2"/>
        <item m="1" x="20"/>
        <item m="1" x="17"/>
        <item x="7"/>
        <item m="1" x="22"/>
        <item t="default"/>
      </items>
    </pivotField>
    <pivotField showAll="0">
      <items count="9">
        <item x="6"/>
        <item x="3"/>
        <item x="1"/>
        <item m="1" x="7"/>
        <item x="0"/>
        <item x="4"/>
        <item x="5"/>
        <item x="2"/>
        <item t="default"/>
      </items>
    </pivotField>
    <pivotField showAll="0">
      <items count="87">
        <item m="1" x="84"/>
        <item x="1"/>
        <item x="25"/>
        <item m="1" x="79"/>
        <item m="1" x="85"/>
        <item m="1" x="82"/>
        <item m="1" x="81"/>
        <item m="1" x="80"/>
        <item x="44"/>
        <item x="27"/>
        <item x="36"/>
        <item x="28"/>
        <item x="31"/>
        <item x="7"/>
        <item x="16"/>
        <item m="1" x="49"/>
        <item x="19"/>
        <item m="1" x="73"/>
        <item m="1" x="74"/>
        <item m="1" x="75"/>
        <item x="29"/>
        <item x="4"/>
        <item x="10"/>
        <item m="1" x="50"/>
        <item x="18"/>
        <item x="26"/>
        <item x="41"/>
        <item m="1" x="51"/>
        <item x="24"/>
        <item m="1" x="83"/>
        <item x="8"/>
        <item m="1" x="71"/>
        <item x="11"/>
        <item m="1" x="52"/>
        <item x="32"/>
        <item m="1" x="76"/>
        <item m="1" x="53"/>
        <item m="1" x="62"/>
        <item m="1" x="63"/>
        <item x="21"/>
        <item x="20"/>
        <item m="1" x="54"/>
        <item x="34"/>
        <item m="1" x="47"/>
        <item x="0"/>
        <item x="35"/>
        <item m="1" x="77"/>
        <item m="1" x="68"/>
        <item m="1" x="69"/>
        <item m="1" x="70"/>
        <item m="1" x="55"/>
        <item m="1" x="46"/>
        <item m="1" x="56"/>
        <item m="1" x="64"/>
        <item x="40"/>
        <item x="5"/>
        <item x="17"/>
        <item x="12"/>
        <item x="33"/>
        <item x="3"/>
        <item x="30"/>
        <item x="45"/>
        <item x="6"/>
        <item x="39"/>
        <item x="38"/>
        <item m="1" x="65"/>
        <item x="37"/>
        <item m="1" x="66"/>
        <item m="1" x="48"/>
        <item m="1" x="60"/>
        <item m="1" x="61"/>
        <item m="1" x="67"/>
        <item x="13"/>
        <item x="14"/>
        <item x="9"/>
        <item m="1" x="57"/>
        <item m="1" x="78"/>
        <item m="1" x="58"/>
        <item m="1" x="59"/>
        <item x="42"/>
        <item x="23"/>
        <item x="15"/>
        <item x="22"/>
        <item x="43"/>
        <item m="1" x="72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uma de CARGA DE AVANCE 5" fld="14" baseField="0" baseItem="0"/>
  </dataFields>
  <formats count="1">
    <format dxfId="13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A4F07B-A75E-402D-94E7-8FF886951BE5}" name="TablaDinámica26" cacheId="4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56:A57" firstHeaderRow="1" firstDataRow="1" firstDataCol="0"/>
  <pivotFields count="19">
    <pivotField numFmtId="14" showAll="0">
      <items count="20">
        <item x="7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t="default"/>
      </items>
    </pivotField>
    <pivotField showAll="0"/>
    <pivotField showAll="0"/>
    <pivotField showAll="0">
      <items count="24">
        <item x="0"/>
        <item x="4"/>
        <item m="1" x="16"/>
        <item x="3"/>
        <item x="5"/>
        <item x="11"/>
        <item x="1"/>
        <item m="1" x="19"/>
        <item m="1" x="18"/>
        <item m="1" x="15"/>
        <item m="1" x="21"/>
        <item x="6"/>
        <item x="13"/>
        <item x="8"/>
        <item m="1" x="14"/>
        <item x="10"/>
        <item x="9"/>
        <item x="12"/>
        <item x="2"/>
        <item m="1" x="20"/>
        <item m="1" x="17"/>
        <item x="7"/>
        <item m="1" x="22"/>
        <item t="default"/>
      </items>
    </pivotField>
    <pivotField showAll="0">
      <items count="9">
        <item x="6"/>
        <item x="3"/>
        <item x="1"/>
        <item m="1" x="7"/>
        <item x="0"/>
        <item x="4"/>
        <item x="5"/>
        <item x="2"/>
        <item t="default"/>
      </items>
    </pivotField>
    <pivotField showAll="0">
      <items count="87">
        <item m="1" x="84"/>
        <item x="1"/>
        <item x="25"/>
        <item m="1" x="79"/>
        <item m="1" x="85"/>
        <item m="1" x="82"/>
        <item m="1" x="81"/>
        <item m="1" x="80"/>
        <item x="44"/>
        <item x="27"/>
        <item x="36"/>
        <item x="28"/>
        <item x="31"/>
        <item x="7"/>
        <item x="16"/>
        <item m="1" x="49"/>
        <item x="19"/>
        <item m="1" x="73"/>
        <item m="1" x="74"/>
        <item m="1" x="75"/>
        <item x="29"/>
        <item x="4"/>
        <item x="10"/>
        <item m="1" x="50"/>
        <item x="18"/>
        <item x="26"/>
        <item x="41"/>
        <item m="1" x="51"/>
        <item x="24"/>
        <item m="1" x="83"/>
        <item x="8"/>
        <item m="1" x="71"/>
        <item x="11"/>
        <item m="1" x="52"/>
        <item x="32"/>
        <item m="1" x="76"/>
        <item m="1" x="53"/>
        <item m="1" x="62"/>
        <item m="1" x="63"/>
        <item x="21"/>
        <item x="20"/>
        <item m="1" x="54"/>
        <item x="34"/>
        <item m="1" x="47"/>
        <item x="0"/>
        <item x="35"/>
        <item m="1" x="77"/>
        <item m="1" x="68"/>
        <item m="1" x="69"/>
        <item m="1" x="70"/>
        <item m="1" x="55"/>
        <item m="1" x="46"/>
        <item m="1" x="56"/>
        <item m="1" x="64"/>
        <item x="40"/>
        <item x="5"/>
        <item x="17"/>
        <item x="12"/>
        <item x="33"/>
        <item x="3"/>
        <item x="30"/>
        <item x="45"/>
        <item x="6"/>
        <item x="39"/>
        <item x="38"/>
        <item m="1" x="65"/>
        <item x="37"/>
        <item m="1" x="66"/>
        <item m="1" x="48"/>
        <item m="1" x="60"/>
        <item m="1" x="61"/>
        <item m="1" x="67"/>
        <item x="13"/>
        <item x="14"/>
        <item x="9"/>
        <item m="1" x="57"/>
        <item m="1" x="78"/>
        <item m="1" x="58"/>
        <item m="1" x="59"/>
        <item x="42"/>
        <item x="23"/>
        <item x="15"/>
        <item x="22"/>
        <item x="43"/>
        <item m="1" x="72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uma de CARGA DE AVANCE 2" fld="11" baseField="0" baseItem="0"/>
  </dataFields>
  <formats count="1">
    <format dxfId="14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DA4CC-B409-4805-8128-CD585909BF45}" name="TablaDinámica22" cacheId="4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37:B39" firstHeaderRow="1" firstDataRow="1" firstDataCol="1"/>
  <pivotFields count="19">
    <pivotField numFmtId="14" showAll="0">
      <items count="20">
        <item x="7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x="3"/>
        <item x="18"/>
        <item t="default"/>
      </items>
    </pivotField>
    <pivotField showAll="0"/>
    <pivotField showAll="0"/>
    <pivotField showAll="0" sortType="descending">
      <items count="24">
        <item x="0"/>
        <item x="4"/>
        <item m="1" x="16"/>
        <item x="3"/>
        <item x="5"/>
        <item x="11"/>
        <item x="1"/>
        <item m="1" x="19"/>
        <item m="1" x="18"/>
        <item m="1" x="15"/>
        <item m="1" x="21"/>
        <item x="6"/>
        <item x="13"/>
        <item x="8"/>
        <item m="1" x="14"/>
        <item x="10"/>
        <item x="9"/>
        <item x="12"/>
        <item x="2"/>
        <item m="1" x="20"/>
        <item m="1" x="17"/>
        <item x="7"/>
        <item m="1" x="2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9">
        <item x="6"/>
        <item x="3"/>
        <item x="1"/>
        <item m="1" x="7"/>
        <item x="0"/>
        <item x="4"/>
        <item x="5"/>
        <item x="2"/>
        <item t="default"/>
      </items>
    </pivotField>
    <pivotField showAll="0">
      <items count="87">
        <item m="1" x="84"/>
        <item x="1"/>
        <item x="25"/>
        <item m="1" x="79"/>
        <item m="1" x="85"/>
        <item m="1" x="82"/>
        <item m="1" x="81"/>
        <item m="1" x="80"/>
        <item x="44"/>
        <item x="27"/>
        <item x="36"/>
        <item x="28"/>
        <item x="31"/>
        <item x="7"/>
        <item x="16"/>
        <item m="1" x="49"/>
        <item x="19"/>
        <item m="1" x="73"/>
        <item m="1" x="74"/>
        <item m="1" x="75"/>
        <item x="29"/>
        <item x="4"/>
        <item x="10"/>
        <item m="1" x="50"/>
        <item x="18"/>
        <item x="26"/>
        <item x="41"/>
        <item m="1" x="51"/>
        <item x="24"/>
        <item m="1" x="83"/>
        <item x="8"/>
        <item m="1" x="71"/>
        <item x="11"/>
        <item m="1" x="52"/>
        <item x="32"/>
        <item m="1" x="76"/>
        <item m="1" x="53"/>
        <item m="1" x="62"/>
        <item m="1" x="63"/>
        <item x="21"/>
        <item x="20"/>
        <item m="1" x="54"/>
        <item x="34"/>
        <item m="1" x="47"/>
        <item x="0"/>
        <item x="35"/>
        <item m="1" x="77"/>
        <item m="1" x="68"/>
        <item m="1" x="69"/>
        <item m="1" x="70"/>
        <item m="1" x="55"/>
        <item m="1" x="46"/>
        <item m="1" x="56"/>
        <item m="1" x="64"/>
        <item x="40"/>
        <item x="5"/>
        <item x="17"/>
        <item x="12"/>
        <item x="33"/>
        <item x="3"/>
        <item x="30"/>
        <item x="45"/>
        <item x="6"/>
        <item x="39"/>
        <item x="38"/>
        <item m="1" x="65"/>
        <item x="37"/>
        <item m="1" x="66"/>
        <item m="1" x="48"/>
        <item m="1" x="60"/>
        <item m="1" x="61"/>
        <item m="1" x="67"/>
        <item x="13"/>
        <item x="14"/>
        <item x="9"/>
        <item m="1" x="57"/>
        <item m="1" x="78"/>
        <item m="1" x="58"/>
        <item m="1" x="59"/>
        <item x="42"/>
        <item x="23"/>
        <item x="15"/>
        <item x="22"/>
        <item x="43"/>
        <item m="1" x="72"/>
        <item x="2"/>
        <item t="default"/>
      </items>
    </pivotField>
    <pivotField axis="axisRow" showAll="0">
      <items count="7">
        <item h="1" x="0"/>
        <item h="1" x="2"/>
        <item x="1"/>
        <item h="1" m="1" x="4"/>
        <item h="1" m="1" x="5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6"/>
  </rowFields>
  <rowItems count="2">
    <i>
      <x v="2"/>
    </i>
    <i t="grand">
      <x/>
    </i>
  </rowItems>
  <colItems count="1">
    <i/>
  </colItems>
  <dataFields count="1">
    <dataField name="Promedio de % AVANCE" fld="17" subtotal="average" baseField="2" baseItem="0" numFmtId="9"/>
  </dataFields>
  <formats count="1">
    <format dxfId="14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ÉCNICO" xr10:uid="{FADD42FE-2635-4EF4-AC61-74965CB9FBEB}" sourceName="TÉCNICO">
  <pivotTables>
    <pivotTable tabId="2" name="TablaDinámica18"/>
    <pivotTable tabId="2" name="TablaDinámica19"/>
    <pivotTable tabId="2" name="TablaDinámica20"/>
    <pivotTable tabId="2" name="TablaDinámica21"/>
    <pivotTable tabId="2" name="TablaDinámica22"/>
    <pivotTable tabId="2" name="TablaDinámica23"/>
    <pivotTable tabId="2" name="TablaDinámica24"/>
    <pivotTable tabId="2" name="TablaDinámica25"/>
    <pivotTable tabId="2" name="TablaDinámica26"/>
    <pivotTable tabId="2" name="TablaDinámica27"/>
    <pivotTable tabId="2" name="TablaDinámica28"/>
    <pivotTable tabId="2" name="TablaDinámica29"/>
    <pivotTable tabId="2" name="TablaDinámica30"/>
  </pivotTables>
  <data>
    <tabular pivotCacheId="1464211540">
      <items count="23">
        <i x="0" s="1"/>
        <i x="4" s="1"/>
        <i x="3" s="1"/>
        <i x="5" s="1"/>
        <i x="11" s="1"/>
        <i x="1" s="1"/>
        <i x="6" s="1"/>
        <i x="13" s="1"/>
        <i x="8" s="1"/>
        <i x="10" s="1"/>
        <i x="9" s="1"/>
        <i x="12" s="1"/>
        <i x="2" s="1"/>
        <i x="7" s="1"/>
        <i x="16" s="1" nd="1"/>
        <i x="19" s="1" nd="1"/>
        <i x="18" s="1" nd="1"/>
        <i x="15" s="1" nd="1"/>
        <i x="21" s="1" nd="1"/>
        <i x="14" s="1" nd="1"/>
        <i x="20" s="1" nd="1"/>
        <i x="17" s="1" nd="1"/>
        <i x="2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PARTAMENTOS" xr10:uid="{3A4CE2B7-0B44-4801-A5C5-282F2DCAF879}" sourceName="DEPARTAMENTOS">
  <pivotTables>
    <pivotTable tabId="2" name="TablaDinámica18"/>
    <pivotTable tabId="2" name="TablaDinámica19"/>
    <pivotTable tabId="2" name="TablaDinámica20"/>
    <pivotTable tabId="2" name="TablaDinámica21"/>
    <pivotTable tabId="2" name="TablaDinámica22"/>
    <pivotTable tabId="2" name="TablaDinámica23"/>
    <pivotTable tabId="2" name="TablaDinámica24"/>
    <pivotTable tabId="2" name="TablaDinámica25"/>
    <pivotTable tabId="2" name="TablaDinámica26"/>
    <pivotTable tabId="2" name="TablaDinámica27"/>
    <pivotTable tabId="2" name="TablaDinámica28"/>
    <pivotTable tabId="2" name="TablaDinámica29"/>
    <pivotTable tabId="2" name="TablaDinámica30"/>
  </pivotTables>
  <data>
    <tabular pivotCacheId="1464211540">
      <items count="8">
        <i x="6" s="1"/>
        <i x="3" s="1"/>
        <i x="1" s="1"/>
        <i x="0" s="1"/>
        <i x="4" s="1"/>
        <i x="5" s="1"/>
        <i x="2" s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UNICIPIOS" xr10:uid="{1A05533F-4885-4A82-BE7A-3682F6651D47}" sourceName="MUNICIPIOS">
  <pivotTables>
    <pivotTable tabId="2" name="TablaDinámica18"/>
    <pivotTable tabId="2" name="TablaDinámica19"/>
    <pivotTable tabId="2" name="TablaDinámica20"/>
    <pivotTable tabId="2" name="TablaDinámica21"/>
    <pivotTable tabId="2" name="TablaDinámica22"/>
    <pivotTable tabId="2" name="TablaDinámica23"/>
    <pivotTable tabId="2" name="TablaDinámica24"/>
    <pivotTable tabId="2" name="TablaDinámica25"/>
    <pivotTable tabId="2" name="TablaDinámica26"/>
    <pivotTable tabId="2" name="TablaDinámica27"/>
    <pivotTable tabId="2" name="TablaDinámica28"/>
    <pivotTable tabId="2" name="TablaDinámica29"/>
    <pivotTable tabId="2" name="TablaDinámica30"/>
  </pivotTables>
  <data>
    <tabular pivotCacheId="1464211540" showMissing="0">
      <items count="86">
        <i x="1" s="1"/>
        <i x="25" s="1"/>
        <i x="44" s="1"/>
        <i x="27" s="1"/>
        <i x="36" s="1"/>
        <i x="28" s="1"/>
        <i x="31" s="1"/>
        <i x="7" s="1"/>
        <i x="16" s="1"/>
        <i x="19" s="1"/>
        <i x="29" s="1"/>
        <i x="4" s="1"/>
        <i x="10" s="1"/>
        <i x="18" s="1"/>
        <i x="26" s="1"/>
        <i x="41" s="1"/>
        <i x="24" s="1"/>
        <i x="8" s="1"/>
        <i x="11" s="1"/>
        <i x="32" s="1"/>
        <i x="21" s="1"/>
        <i x="20" s="1"/>
        <i x="34" s="1"/>
        <i x="0" s="1"/>
        <i x="35" s="1"/>
        <i x="40" s="1"/>
        <i x="5" s="1"/>
        <i x="17" s="1"/>
        <i x="12" s="1"/>
        <i x="33" s="1"/>
        <i x="3" s="1"/>
        <i x="30" s="1"/>
        <i x="45" s="1"/>
        <i x="6" s="1"/>
        <i x="39" s="1"/>
        <i x="38" s="1"/>
        <i x="37" s="1"/>
        <i x="13" s="1"/>
        <i x="14" s="1"/>
        <i x="9" s="1"/>
        <i x="42" s="1"/>
        <i x="23" s="1"/>
        <i x="15" s="1"/>
        <i x="22" s="1"/>
        <i x="43" s="1"/>
        <i x="2" s="1"/>
        <i x="84" s="1" nd="1"/>
        <i x="79" s="1" nd="1"/>
        <i x="85" s="1" nd="1"/>
        <i x="82" s="1" nd="1"/>
        <i x="81" s="1" nd="1"/>
        <i x="80" s="1" nd="1"/>
        <i x="49" s="1" nd="1"/>
        <i x="73" s="1" nd="1"/>
        <i x="74" s="1" nd="1"/>
        <i x="75" s="1" nd="1"/>
        <i x="50" s="1" nd="1"/>
        <i x="51" s="1" nd="1"/>
        <i x="83" s="1" nd="1"/>
        <i x="71" s="1" nd="1"/>
        <i x="52" s="1" nd="1"/>
        <i x="76" s="1" nd="1"/>
        <i x="53" s="1" nd="1"/>
        <i x="62" s="1" nd="1"/>
        <i x="63" s="1" nd="1"/>
        <i x="54" s="1" nd="1"/>
        <i x="47" s="1" nd="1"/>
        <i x="77" s="1" nd="1"/>
        <i x="68" s="1" nd="1"/>
        <i x="69" s="1" nd="1"/>
        <i x="70" s="1" nd="1"/>
        <i x="55" s="1" nd="1"/>
        <i x="46" s="1" nd="1"/>
        <i x="56" s="1" nd="1"/>
        <i x="64" s="1" nd="1"/>
        <i x="65" s="1" nd="1"/>
        <i x="66" s="1" nd="1"/>
        <i x="48" s="1" nd="1"/>
        <i x="60" s="1" nd="1"/>
        <i x="61" s="1" nd="1"/>
        <i x="67" s="1" nd="1"/>
        <i x="57" s="1" nd="1"/>
        <i x="78" s="1" nd="1"/>
        <i x="58" s="1" nd="1"/>
        <i x="59" s="1" nd="1"/>
        <i x="7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ÉCNICO" xr10:uid="{B9B9286A-E359-4B10-BD60-787121CF5D97}" cache="SegmentaciónDeDatos_TÉCNICO" caption="TÉCNICO" rowHeight="257175"/>
  <slicer name="DEPARTAMENTOS" xr10:uid="{C49876AD-BF15-43E8-B860-730CD6F8BE0F}" cache="SegmentaciónDeDatos_DEPARTAMENTOS" caption="DEPARTAMENTOS" rowHeight="257175"/>
  <slicer name="MUNICIPIOS" xr10:uid="{1751D8B7-B4A7-46B9-B873-697A981B9034}" cache="SegmentaciónDeDatos_MUNICIPIOS" caption="MUNICIPIOS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ÉCNICO 1" xr10:uid="{BA05E373-0F57-4FA3-8430-96EC199C5D50}" cache="SegmentaciónDeDatos_TÉCNICO" caption="TÉCNICO" columnCount="2" style="SlicerStyleDark6" lockedPosition="1" rowHeight="216000"/>
  <slicer name="DEPARTAMENTOS 1" xr10:uid="{526D2B40-0F46-4C9C-99C2-60D29C63176D}" cache="SegmentaciónDeDatos_DEPARTAMENTOS" caption="DEPARTAMENTOS" columnCount="9" style="SlicerStyleDark6" lockedPosition="1" rowHeight="257175"/>
  <slicer name="MUNICIPIOS 1" xr10:uid="{FEF6291E-EFF1-4724-AF66-34F743E1A8E9}" cache="SegmentaciónDeDatos_MUNICIPIOS" caption="MUNICIPIOS" columnCount="7" style="SlicerStyleDark6" lockedPosition="1" rowHeight="216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09E00C-002B-4284-B0DE-BF3855C7C188}" name="Tabla1" displayName="Tabla1" ref="A1:S109" totalsRowShown="0" headerRowDxfId="126" dataDxfId="75" headerRowBorderDxfId="125" tableBorderDxfId="124" totalsRowBorderDxfId="123">
  <autoFilter ref="A1:S109" xr:uid="{5E09E00C-002B-4284-B0DE-BF3855C7C188}"/>
  <tableColumns count="19">
    <tableColumn id="1" xr3:uid="{301AEFCB-D671-43F2-80AD-46A7DAA79A5D}" name="FECHA" dataDxfId="94"/>
    <tableColumn id="18" xr3:uid="{95913CF7-9E68-4D41-A9CD-76C271E4115F}" name="FECHA FIN" dataDxfId="93"/>
    <tableColumn id="11" xr3:uid="{59712184-E850-42C9-9D19-673F8F52D850}" name="SUPERVISOR" dataDxfId="92"/>
    <tableColumn id="2" xr3:uid="{659D730A-A75B-4EBE-8BD0-92B485F34BC0}" name="TÉCNICO" dataDxfId="91"/>
    <tableColumn id="3" xr3:uid="{2C4A0902-2917-430A-A554-4B02EC698ACB}" name="DEPARTAMENTOS" dataDxfId="90"/>
    <tableColumn id="4" xr3:uid="{85BAFEFB-E5CC-4D06-ACDD-C5DC306EC7DE}" name="MUNICIPIOS" dataDxfId="89"/>
    <tableColumn id="5" xr3:uid="{635E43F6-F420-41A5-8829-76D9C69BF2BD}" name="TAREAS  " dataDxfId="88"/>
    <tableColumn id="19" xr3:uid="{6EB78BFC-704C-4626-AA65-5F064D059162}" name="DESCRIPCION" dataDxfId="87"/>
    <tableColumn id="6" xr3:uid="{B81115D4-1DF0-424C-85E6-EB8915810CE4}" name="GRADO DE DIFICULTAD" dataDxfId="86"/>
    <tableColumn id="7" xr3:uid="{DFC52A2D-A8DC-4C3A-905B-601F1EAA42CA}" name="CARGA TOTAL" dataDxfId="85"/>
    <tableColumn id="8" xr3:uid="{69A85A37-37C2-4CF8-9983-496EC4D0FA90}" name="CARGA DE AVANCE 1" dataDxfId="84"/>
    <tableColumn id="12" xr3:uid="{14777BDC-8A0E-43A0-B0FF-F7FB64566668}" name="CARGA DE AVANCE 2" dataDxfId="83"/>
    <tableColumn id="16" xr3:uid="{B7617D5B-C266-4028-8C9E-75AAC6E9210A}" name="CARGA DE AVANCE 3" dataDxfId="82"/>
    <tableColumn id="15" xr3:uid="{FFA3DDF4-0393-4971-B2BF-47F404AE717C}" name="CARGA DE AVANCE 4" dataDxfId="81"/>
    <tableColumn id="13" xr3:uid="{3C9CF61D-73DF-483E-BCB4-67EC5F8BF330}" name="CARGA DE AVANCE 5" dataDxfId="80"/>
    <tableColumn id="14" xr3:uid="{CD2A2CFD-4C3F-4987-ACF1-40E772987D77}" name="CARGA DE AVANCE 6" dataDxfId="79"/>
    <tableColumn id="17" xr3:uid="{91723CD9-6CD2-438F-B595-77AE7C6B04DF}" name="CARGA DE AVANCE TOTAL" dataDxfId="78">
      <calculatedColumnFormula>K2+L2+M2+N2+O2+P2</calculatedColumnFormula>
    </tableColumn>
    <tableColumn id="9" xr3:uid="{8FE643B9-D30A-4BBF-8E25-A4893AC8608D}" name="% AVANCE" dataDxfId="77" dataCellStyle="Porcentaje">
      <calculatedColumnFormula>Q2/J2</calculatedColumnFormula>
    </tableColumn>
    <tableColumn id="10" xr3:uid="{B318B7B8-D600-407C-94D6-3023EE03B4B6}" name="ESTADO" dataDxfId="76">
      <calculatedColumnFormula>IF(R2&gt;=100%,"FINALIZADO", IF(R2&gt;=75%, "EN PROCESO", IF(R2 &gt;=50%, "CUIDADO","OBSERVADO")))</calculatedColumnFormula>
    </tableColumn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A9B489D4-4726-4E9C-9EF9-B7FB864CA37F}" sourceName="FECHA">
  <pivotTables>
    <pivotTable tabId="2" name="TablaDinámica18"/>
    <pivotTable tabId="2" name="TablaDinámica19"/>
    <pivotTable tabId="2" name="TablaDinámica20"/>
    <pivotTable tabId="2" name="TablaDinámica21"/>
    <pivotTable tabId="2" name="TablaDinámica22"/>
    <pivotTable tabId="2" name="TablaDinámica23"/>
    <pivotTable tabId="2" name="TablaDinámica24"/>
    <pivotTable tabId="2" name="TablaDinámica25"/>
    <pivotTable tabId="2" name="TablaDinámica26"/>
    <pivotTable tabId="2" name="TablaDinámica27"/>
    <pivotTable tabId="2" name="TablaDinámica28"/>
    <pivotTable tabId="2" name="TablaDinámica29"/>
    <pivotTable tabId="2" name="TablaDinámica30"/>
  </pivotTables>
  <state minimalRefreshVersion="6" lastRefreshVersion="6" pivotCacheId="1464211540" filterType="unknown">
    <bounds startDate="2007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8242B4B6-E027-4278-9DC5-B324612A3BF8}" cache="NativeTimeline_FECHA" caption="FECHA" level="2" selectionLevel="2" scrollPosition="2025-05-29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1" xr10:uid="{D981A94B-CE44-42A3-B789-DA35AB1FF75D}" cache="NativeTimeline_FECHA" caption="FECHA" level="3" selectionLevel="3" scrollPosition="2025-04-24T00:00:00" style="TimeSlicerStyleDark6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6" Type="http://schemas.microsoft.com/office/2011/relationships/timeline" Target="../timelines/timeline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microsoft.com/office/2007/relationships/slicer" Target="../slicers/slicer1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1/relationships/timeline" Target="../timelines/timeline2.xml"/><Relationship Id="rId2" Type="http://schemas.microsoft.com/office/2007/relationships/slicer" Target="../slicers/slicer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6F5B4-5BD6-4BE9-A7E2-440D65098777}">
  <sheetPr codeName="Hoja1"/>
  <dimension ref="A3:B69"/>
  <sheetViews>
    <sheetView workbookViewId="0">
      <selection activeCell="A5" sqref="A5"/>
    </sheetView>
  </sheetViews>
  <sheetFormatPr baseColWidth="10" defaultRowHeight="15" x14ac:dyDescent="0.25"/>
  <cols>
    <col min="1" max="1" width="28.28515625" bestFit="1" customWidth="1"/>
    <col min="2" max="2" width="22.5703125" bestFit="1" customWidth="1"/>
  </cols>
  <sheetData>
    <row r="3" spans="1:2" x14ac:dyDescent="0.25">
      <c r="A3" s="19" t="s">
        <v>28</v>
      </c>
      <c r="B3" t="s">
        <v>30</v>
      </c>
    </row>
    <row r="4" spans="1:2" x14ac:dyDescent="0.25">
      <c r="A4" s="20" t="s">
        <v>131</v>
      </c>
      <c r="B4" s="21">
        <v>1</v>
      </c>
    </row>
    <row r="5" spans="1:2" x14ac:dyDescent="0.25">
      <c r="A5" s="20" t="s">
        <v>108</v>
      </c>
      <c r="B5" s="21">
        <v>1</v>
      </c>
    </row>
    <row r="6" spans="1:2" x14ac:dyDescent="0.25">
      <c r="A6" s="20" t="s">
        <v>99</v>
      </c>
      <c r="B6" s="21">
        <v>1</v>
      </c>
    </row>
    <row r="7" spans="1:2" x14ac:dyDescent="0.25">
      <c r="A7" s="20" t="s">
        <v>60</v>
      </c>
      <c r="B7" s="21">
        <v>1</v>
      </c>
    </row>
    <row r="8" spans="1:2" x14ac:dyDescent="0.25">
      <c r="A8" s="20" t="s">
        <v>114</v>
      </c>
      <c r="B8" s="21">
        <v>1</v>
      </c>
    </row>
    <row r="9" spans="1:2" x14ac:dyDescent="0.25">
      <c r="A9" s="20" t="s">
        <v>83</v>
      </c>
      <c r="B9" s="21">
        <v>1</v>
      </c>
    </row>
    <row r="10" spans="1:2" x14ac:dyDescent="0.25">
      <c r="A10" s="20" t="s">
        <v>133</v>
      </c>
      <c r="B10" s="21">
        <v>1</v>
      </c>
    </row>
    <row r="11" spans="1:2" x14ac:dyDescent="0.25">
      <c r="A11" s="20" t="s">
        <v>57</v>
      </c>
      <c r="B11" s="21">
        <v>1</v>
      </c>
    </row>
    <row r="12" spans="1:2" x14ac:dyDescent="0.25">
      <c r="A12" s="20" t="s">
        <v>111</v>
      </c>
      <c r="B12" s="21">
        <v>0.9835158076024112</v>
      </c>
    </row>
    <row r="13" spans="1:2" x14ac:dyDescent="0.25">
      <c r="A13" s="20" t="s">
        <v>81</v>
      </c>
      <c r="B13" s="21">
        <v>0.98057432432432434</v>
      </c>
    </row>
    <row r="14" spans="1:2" x14ac:dyDescent="0.25">
      <c r="A14" s="20" t="s">
        <v>78</v>
      </c>
      <c r="B14" s="21">
        <v>0.96306985195874095</v>
      </c>
    </row>
    <row r="15" spans="1:2" x14ac:dyDescent="0.25">
      <c r="A15" s="20" t="s">
        <v>63</v>
      </c>
      <c r="B15" s="21">
        <v>0.86209591414033548</v>
      </c>
    </row>
    <row r="16" spans="1:2" x14ac:dyDescent="0.25">
      <c r="A16" s="20" t="s">
        <v>96</v>
      </c>
      <c r="B16" s="21">
        <v>0.84854368932038837</v>
      </c>
    </row>
    <row r="17" spans="1:2" x14ac:dyDescent="0.25">
      <c r="A17" s="20" t="s">
        <v>93</v>
      </c>
      <c r="B17" s="21">
        <v>0.82493765586034906</v>
      </c>
    </row>
    <row r="18" spans="1:2" x14ac:dyDescent="0.25">
      <c r="A18" s="20" t="s">
        <v>29</v>
      </c>
      <c r="B18" s="21">
        <v>0.96309264187519805</v>
      </c>
    </row>
    <row r="20" spans="1:2" x14ac:dyDescent="0.25">
      <c r="A20" t="s">
        <v>30</v>
      </c>
    </row>
    <row r="21" spans="1:2" x14ac:dyDescent="0.25">
      <c r="A21" s="21">
        <v>0.96309264187519805</v>
      </c>
    </row>
    <row r="27" spans="1:2" x14ac:dyDescent="0.25">
      <c r="A27" s="19" t="s">
        <v>28</v>
      </c>
      <c r="B27" t="s">
        <v>30</v>
      </c>
    </row>
    <row r="28" spans="1:2" x14ac:dyDescent="0.25">
      <c r="A28" s="20" t="s">
        <v>19</v>
      </c>
      <c r="B28" s="21">
        <v>0.92125089941266936</v>
      </c>
    </row>
    <row r="29" spans="1:2" x14ac:dyDescent="0.25">
      <c r="A29" s="20" t="s">
        <v>29</v>
      </c>
      <c r="B29" s="21">
        <v>0.92125089941266936</v>
      </c>
    </row>
    <row r="32" spans="1:2" x14ac:dyDescent="0.25">
      <c r="A32" s="19" t="s">
        <v>28</v>
      </c>
      <c r="B32" t="s">
        <v>30</v>
      </c>
    </row>
    <row r="33" spans="1:2" x14ac:dyDescent="0.25">
      <c r="A33" s="20" t="s">
        <v>17</v>
      </c>
      <c r="B33" s="21">
        <v>1</v>
      </c>
    </row>
    <row r="34" spans="1:2" x14ac:dyDescent="0.25">
      <c r="A34" s="20" t="s">
        <v>29</v>
      </c>
      <c r="B34" s="21">
        <v>1</v>
      </c>
    </row>
    <row r="37" spans="1:2" x14ac:dyDescent="0.25">
      <c r="A37" s="19" t="s">
        <v>28</v>
      </c>
      <c r="B37" t="s">
        <v>30</v>
      </c>
    </row>
    <row r="38" spans="1:2" x14ac:dyDescent="0.25">
      <c r="A38" s="20" t="s">
        <v>53</v>
      </c>
      <c r="B38" s="21">
        <v>1</v>
      </c>
    </row>
    <row r="39" spans="1:2" x14ac:dyDescent="0.25">
      <c r="A39" s="20" t="s">
        <v>29</v>
      </c>
      <c r="B39" s="21">
        <v>1</v>
      </c>
    </row>
    <row r="42" spans="1:2" x14ac:dyDescent="0.25">
      <c r="A42" s="19" t="s">
        <v>28</v>
      </c>
      <c r="B42" t="s">
        <v>30</v>
      </c>
    </row>
    <row r="43" spans="1:2" x14ac:dyDescent="0.25">
      <c r="A43" s="20" t="s">
        <v>29</v>
      </c>
      <c r="B43" s="21"/>
    </row>
    <row r="47" spans="1:2" x14ac:dyDescent="0.25">
      <c r="A47" s="19" t="s">
        <v>28</v>
      </c>
      <c r="B47" t="s">
        <v>30</v>
      </c>
    </row>
    <row r="48" spans="1:2" x14ac:dyDescent="0.25">
      <c r="A48" s="20" t="s">
        <v>29</v>
      </c>
      <c r="B48" s="21"/>
    </row>
    <row r="53" spans="1:1" x14ac:dyDescent="0.25">
      <c r="A53" t="s">
        <v>31</v>
      </c>
    </row>
    <row r="54" spans="1:1" x14ac:dyDescent="0.25">
      <c r="A54" s="22">
        <v>26900</v>
      </c>
    </row>
    <row r="56" spans="1:1" x14ac:dyDescent="0.25">
      <c r="A56" t="s">
        <v>32</v>
      </c>
    </row>
    <row r="57" spans="1:1" x14ac:dyDescent="0.25">
      <c r="A57" s="58">
        <v>13051</v>
      </c>
    </row>
    <row r="59" spans="1:1" x14ac:dyDescent="0.25">
      <c r="A59" t="s">
        <v>33</v>
      </c>
    </row>
    <row r="60" spans="1:1" x14ac:dyDescent="0.25">
      <c r="A60" s="58">
        <v>5303</v>
      </c>
    </row>
    <row r="62" spans="1:1" x14ac:dyDescent="0.25">
      <c r="A62" t="s">
        <v>34</v>
      </c>
    </row>
    <row r="63" spans="1:1" x14ac:dyDescent="0.25">
      <c r="A63" s="58">
        <v>1152</v>
      </c>
    </row>
    <row r="65" spans="1:1" x14ac:dyDescent="0.25">
      <c r="A65" t="s">
        <v>35</v>
      </c>
    </row>
    <row r="66" spans="1:1" x14ac:dyDescent="0.25">
      <c r="A66" s="58">
        <v>1739</v>
      </c>
    </row>
    <row r="68" spans="1:1" x14ac:dyDescent="0.25">
      <c r="A68" t="s">
        <v>36</v>
      </c>
    </row>
    <row r="69" spans="1:1" x14ac:dyDescent="0.25">
      <c r="A69" s="58">
        <v>673</v>
      </c>
    </row>
  </sheetData>
  <pageMargins left="0.7" right="0.7" top="0.75" bottom="0.75" header="0.3" footer="0.3"/>
  <drawing r:id="rId14"/>
  <extLst>
    <ext xmlns:x14="http://schemas.microsoft.com/office/spreadsheetml/2009/9/main" uri="{A8765BA9-456A-4dab-B4F3-ACF838C121DE}">
      <x14:slicerList>
        <x14:slicer r:id="rId15"/>
      </x14:slicerList>
    </ext>
    <ext xmlns:x15="http://schemas.microsoft.com/office/spreadsheetml/2010/11/main" uri="{7E03D99C-DC04-49d9-9315-930204A7B6E9}">
      <x15:timelineRefs>
        <x15:timelineRef r:id="rId16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637CC-101A-4510-BAB2-2483D84A1C68}">
  <sheetPr codeName="Hoja2"/>
  <dimension ref="A1:S109"/>
  <sheetViews>
    <sheetView zoomScale="55" zoomScaleNormal="55" workbookViewId="0">
      <selection activeCell="C5" sqref="C5"/>
    </sheetView>
  </sheetViews>
  <sheetFormatPr baseColWidth="10" defaultRowHeight="15" x14ac:dyDescent="0.25"/>
  <cols>
    <col min="1" max="2" width="40.28515625" customWidth="1"/>
    <col min="3" max="3" width="17.42578125" bestFit="1" customWidth="1"/>
    <col min="4" max="4" width="14" bestFit="1" customWidth="1"/>
    <col min="5" max="5" width="21.7109375" bestFit="1" customWidth="1"/>
    <col min="6" max="6" width="87.7109375" bestFit="1" customWidth="1"/>
    <col min="7" max="8" width="42.7109375" customWidth="1"/>
    <col min="9" max="9" width="39.28515625" customWidth="1"/>
    <col min="10" max="10" width="18" bestFit="1" customWidth="1"/>
    <col min="11" max="16" width="24.42578125" bestFit="1" customWidth="1"/>
    <col min="17" max="17" width="29.140625" bestFit="1" customWidth="1"/>
    <col min="18" max="18" width="15" bestFit="1" customWidth="1"/>
    <col min="19" max="19" width="12.85546875" bestFit="1" customWidth="1"/>
  </cols>
  <sheetData>
    <row r="1" spans="1:19" x14ac:dyDescent="0.25">
      <c r="A1" s="1" t="s">
        <v>0</v>
      </c>
      <c r="B1" s="1" t="s">
        <v>54</v>
      </c>
      <c r="C1" s="1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55</v>
      </c>
      <c r="I1" s="2" t="s">
        <v>6</v>
      </c>
      <c r="J1" s="2" t="s">
        <v>7</v>
      </c>
      <c r="K1" s="3" t="s">
        <v>8</v>
      </c>
      <c r="L1" s="3" t="s">
        <v>9</v>
      </c>
      <c r="M1" s="3" t="s">
        <v>10</v>
      </c>
      <c r="N1" s="3" t="s">
        <v>11</v>
      </c>
      <c r="O1" s="3" t="s">
        <v>12</v>
      </c>
      <c r="P1" s="3" t="s">
        <v>13</v>
      </c>
      <c r="Q1" s="2" t="s">
        <v>14</v>
      </c>
      <c r="R1" s="2" t="s">
        <v>15</v>
      </c>
      <c r="S1" s="4" t="s">
        <v>16</v>
      </c>
    </row>
    <row r="2" spans="1:19" ht="45" x14ac:dyDescent="0.25">
      <c r="A2" s="5">
        <v>45832</v>
      </c>
      <c r="B2" s="5">
        <v>45832</v>
      </c>
      <c r="C2" s="59" t="s">
        <v>56</v>
      </c>
      <c r="D2" s="6" t="s">
        <v>57</v>
      </c>
      <c r="E2" s="7" t="s">
        <v>58</v>
      </c>
      <c r="F2" s="8" t="s">
        <v>59</v>
      </c>
      <c r="G2" s="8" t="s">
        <v>19</v>
      </c>
      <c r="H2" s="8"/>
      <c r="I2" s="8" t="s">
        <v>20</v>
      </c>
      <c r="J2" s="9">
        <v>1326</v>
      </c>
      <c r="K2" s="10">
        <v>1326</v>
      </c>
      <c r="L2" s="10"/>
      <c r="M2" s="10"/>
      <c r="N2" s="10"/>
      <c r="O2" s="10"/>
      <c r="P2" s="10"/>
      <c r="Q2" s="10">
        <f>K2+L2+M2+N2+O2+P2</f>
        <v>1326</v>
      </c>
      <c r="R2" s="11">
        <f t="shared" ref="R2:R65" si="0">Q2/J2</f>
        <v>1</v>
      </c>
      <c r="S2" s="12" t="str">
        <f t="shared" ref="S2:S65" si="1">IF(R2&gt;=100%,"FINALIZADO", IF(R2&gt;=75%, "EN PROCESO", IF(R2 &gt;=50%, "CUIDADO","OBSERVADO")))</f>
        <v>FINALIZADO</v>
      </c>
    </row>
    <row r="3" spans="1:19" ht="60" x14ac:dyDescent="0.25">
      <c r="A3" s="5">
        <v>45832</v>
      </c>
      <c r="B3" s="5">
        <v>45835</v>
      </c>
      <c r="C3" s="59" t="s">
        <v>56</v>
      </c>
      <c r="D3" s="6" t="s">
        <v>60</v>
      </c>
      <c r="E3" s="7" t="s">
        <v>61</v>
      </c>
      <c r="F3" s="8" t="s">
        <v>62</v>
      </c>
      <c r="G3" s="8" t="s">
        <v>53</v>
      </c>
      <c r="H3" s="8"/>
      <c r="I3" s="8" t="s">
        <v>20</v>
      </c>
      <c r="J3" s="9">
        <v>72</v>
      </c>
      <c r="K3" s="10">
        <v>13</v>
      </c>
      <c r="L3" s="10">
        <v>10</v>
      </c>
      <c r="M3" s="10">
        <v>20</v>
      </c>
      <c r="N3" s="10">
        <v>29</v>
      </c>
      <c r="O3" s="10"/>
      <c r="P3" s="10"/>
      <c r="Q3" s="10">
        <f t="shared" ref="Q3:Q66" si="2">K3+L3+M3+N3+O3+P3</f>
        <v>72</v>
      </c>
      <c r="R3" s="11">
        <f t="shared" si="0"/>
        <v>1</v>
      </c>
      <c r="S3" s="12" t="str">
        <f t="shared" si="1"/>
        <v>FINALIZADO</v>
      </c>
    </row>
    <row r="4" spans="1:19" ht="45" x14ac:dyDescent="0.25">
      <c r="A4" s="5">
        <v>45832</v>
      </c>
      <c r="B4" s="5">
        <v>45832</v>
      </c>
      <c r="C4" s="59" t="s">
        <v>56</v>
      </c>
      <c r="D4" s="6" t="s">
        <v>63</v>
      </c>
      <c r="E4" s="7"/>
      <c r="F4" s="8"/>
      <c r="G4" s="8" t="s">
        <v>17</v>
      </c>
      <c r="H4" s="8" t="s">
        <v>64</v>
      </c>
      <c r="I4" s="8" t="s">
        <v>18</v>
      </c>
      <c r="J4" s="9">
        <v>10</v>
      </c>
      <c r="K4" s="10">
        <v>10</v>
      </c>
      <c r="L4" s="10"/>
      <c r="M4" s="10"/>
      <c r="N4" s="10"/>
      <c r="O4" s="10"/>
      <c r="P4" s="10"/>
      <c r="Q4" s="10">
        <f t="shared" si="2"/>
        <v>10</v>
      </c>
      <c r="R4" s="11">
        <f t="shared" si="0"/>
        <v>1</v>
      </c>
      <c r="S4" s="12" t="str">
        <f t="shared" si="1"/>
        <v>FINALIZADO</v>
      </c>
    </row>
    <row r="5" spans="1:19" ht="45" x14ac:dyDescent="0.25">
      <c r="A5" s="5">
        <v>45832</v>
      </c>
      <c r="B5" s="5">
        <v>45832</v>
      </c>
      <c r="C5" s="59" t="s">
        <v>56</v>
      </c>
      <c r="D5" s="6" t="s">
        <v>63</v>
      </c>
      <c r="E5" s="7" t="s">
        <v>58</v>
      </c>
      <c r="F5" s="8" t="s">
        <v>65</v>
      </c>
      <c r="G5" s="8" t="s">
        <v>19</v>
      </c>
      <c r="H5" s="8"/>
      <c r="I5" s="8" t="s">
        <v>18</v>
      </c>
      <c r="J5" s="9">
        <v>1796</v>
      </c>
      <c r="K5" s="10">
        <v>1234</v>
      </c>
      <c r="L5" s="10"/>
      <c r="M5" s="10"/>
      <c r="N5" s="10"/>
      <c r="O5" s="10"/>
      <c r="P5" s="10"/>
      <c r="Q5" s="10">
        <f t="shared" si="2"/>
        <v>1234</v>
      </c>
      <c r="R5" s="11">
        <f t="shared" si="0"/>
        <v>0.68708240534521159</v>
      </c>
      <c r="S5" s="12" t="str">
        <f t="shared" si="1"/>
        <v>CUIDADO</v>
      </c>
    </row>
    <row r="6" spans="1:19" ht="45" x14ac:dyDescent="0.25">
      <c r="A6" s="5">
        <v>45832</v>
      </c>
      <c r="B6" s="5">
        <v>45833</v>
      </c>
      <c r="C6" s="59" t="s">
        <v>56</v>
      </c>
      <c r="D6" s="6" t="s">
        <v>57</v>
      </c>
      <c r="E6" s="7" t="s">
        <v>58</v>
      </c>
      <c r="F6" s="8" t="s">
        <v>66</v>
      </c>
      <c r="G6" s="8" t="s">
        <v>19</v>
      </c>
      <c r="H6" s="8"/>
      <c r="I6" s="8" t="s">
        <v>20</v>
      </c>
      <c r="J6" s="9">
        <v>660</v>
      </c>
      <c r="K6" s="10">
        <v>168</v>
      </c>
      <c r="L6" s="10">
        <v>492</v>
      </c>
      <c r="M6" s="10"/>
      <c r="N6" s="10"/>
      <c r="O6" s="10"/>
      <c r="P6" s="10"/>
      <c r="Q6" s="10">
        <f t="shared" si="2"/>
        <v>660</v>
      </c>
      <c r="R6" s="11">
        <f t="shared" si="0"/>
        <v>1</v>
      </c>
      <c r="S6" s="12" t="str">
        <f t="shared" si="1"/>
        <v>FINALIZADO</v>
      </c>
    </row>
    <row r="7" spans="1:19" ht="45" x14ac:dyDescent="0.25">
      <c r="A7" s="5">
        <v>45833</v>
      </c>
      <c r="B7" s="5">
        <v>45833</v>
      </c>
      <c r="C7" s="59" t="s">
        <v>56</v>
      </c>
      <c r="D7" s="6" t="s">
        <v>63</v>
      </c>
      <c r="E7" s="7"/>
      <c r="F7" s="8"/>
      <c r="G7" s="8" t="s">
        <v>17</v>
      </c>
      <c r="H7" s="8" t="s">
        <v>67</v>
      </c>
      <c r="I7" s="8" t="s">
        <v>18</v>
      </c>
      <c r="J7" s="9">
        <v>10</v>
      </c>
      <c r="K7" s="10">
        <v>10</v>
      </c>
      <c r="L7" s="10"/>
      <c r="M7" s="10"/>
      <c r="N7" s="10"/>
      <c r="O7" s="10"/>
      <c r="P7" s="10"/>
      <c r="Q7" s="10">
        <f t="shared" si="2"/>
        <v>10</v>
      </c>
      <c r="R7" s="11">
        <f t="shared" si="0"/>
        <v>1</v>
      </c>
      <c r="S7" s="12" t="str">
        <f t="shared" si="1"/>
        <v>FINALIZADO</v>
      </c>
    </row>
    <row r="8" spans="1:19" ht="45" x14ac:dyDescent="0.25">
      <c r="A8" s="5">
        <v>45833</v>
      </c>
      <c r="B8" s="5">
        <v>45833</v>
      </c>
      <c r="C8" s="59" t="s">
        <v>56</v>
      </c>
      <c r="D8" s="6" t="s">
        <v>63</v>
      </c>
      <c r="E8" s="7"/>
      <c r="F8" s="8"/>
      <c r="G8" s="8" t="s">
        <v>17</v>
      </c>
      <c r="H8" s="8" t="s">
        <v>68</v>
      </c>
      <c r="I8" s="8" t="s">
        <v>18</v>
      </c>
      <c r="J8" s="9">
        <v>10</v>
      </c>
      <c r="K8" s="10">
        <v>10</v>
      </c>
      <c r="L8" s="10"/>
      <c r="M8" s="10"/>
      <c r="N8" s="10"/>
      <c r="O8" s="10"/>
      <c r="P8" s="10"/>
      <c r="Q8" s="10">
        <f t="shared" si="2"/>
        <v>10</v>
      </c>
      <c r="R8" s="11">
        <f t="shared" si="0"/>
        <v>1</v>
      </c>
      <c r="S8" s="12" t="str">
        <f t="shared" si="1"/>
        <v>FINALIZADO</v>
      </c>
    </row>
    <row r="9" spans="1:19" ht="45" x14ac:dyDescent="0.25">
      <c r="A9" s="5">
        <v>45833</v>
      </c>
      <c r="B9" s="5">
        <v>45835</v>
      </c>
      <c r="C9" s="59" t="s">
        <v>56</v>
      </c>
      <c r="D9" s="6" t="s">
        <v>57</v>
      </c>
      <c r="E9" s="7" t="s">
        <v>58</v>
      </c>
      <c r="F9" s="8" t="s">
        <v>69</v>
      </c>
      <c r="G9" s="8" t="s">
        <v>19</v>
      </c>
      <c r="H9" s="8"/>
      <c r="I9" s="8" t="s">
        <v>20</v>
      </c>
      <c r="J9" s="9">
        <v>1336</v>
      </c>
      <c r="K9" s="10">
        <v>168</v>
      </c>
      <c r="L9" s="10">
        <v>320</v>
      </c>
      <c r="M9" s="10">
        <v>848</v>
      </c>
      <c r="N9" s="10"/>
      <c r="O9" s="10"/>
      <c r="P9" s="10"/>
      <c r="Q9" s="10">
        <f t="shared" si="2"/>
        <v>1336</v>
      </c>
      <c r="R9" s="11">
        <f t="shared" si="0"/>
        <v>1</v>
      </c>
      <c r="S9" s="12" t="str">
        <f t="shared" si="1"/>
        <v>FINALIZADO</v>
      </c>
    </row>
    <row r="10" spans="1:19" ht="45" x14ac:dyDescent="0.25">
      <c r="A10" s="5">
        <v>45833</v>
      </c>
      <c r="B10" s="5">
        <v>45833</v>
      </c>
      <c r="C10" s="59" t="s">
        <v>56</v>
      </c>
      <c r="D10" s="6" t="s">
        <v>57</v>
      </c>
      <c r="E10" s="7"/>
      <c r="F10" s="8"/>
      <c r="G10" s="8" t="s">
        <v>17</v>
      </c>
      <c r="H10" s="8" t="s">
        <v>70</v>
      </c>
      <c r="I10" s="8" t="s">
        <v>18</v>
      </c>
      <c r="J10" s="9">
        <v>10</v>
      </c>
      <c r="K10" s="10">
        <v>10</v>
      </c>
      <c r="L10" s="10"/>
      <c r="M10" s="10"/>
      <c r="N10" s="10"/>
      <c r="O10" s="10"/>
      <c r="P10" s="10"/>
      <c r="Q10" s="10">
        <f t="shared" si="2"/>
        <v>10</v>
      </c>
      <c r="R10" s="11">
        <f t="shared" si="0"/>
        <v>1</v>
      </c>
      <c r="S10" s="12" t="str">
        <f t="shared" si="1"/>
        <v>FINALIZADO</v>
      </c>
    </row>
    <row r="11" spans="1:19" ht="60" x14ac:dyDescent="0.25">
      <c r="A11" s="5">
        <v>45834</v>
      </c>
      <c r="B11" s="5">
        <v>45834</v>
      </c>
      <c r="C11" s="59" t="s">
        <v>56</v>
      </c>
      <c r="D11" s="6" t="s">
        <v>60</v>
      </c>
      <c r="E11" s="7"/>
      <c r="F11" s="8"/>
      <c r="G11" s="8" t="s">
        <v>17</v>
      </c>
      <c r="H11" s="8" t="s">
        <v>71</v>
      </c>
      <c r="I11" s="8" t="s">
        <v>18</v>
      </c>
      <c r="J11" s="9">
        <v>10</v>
      </c>
      <c r="K11" s="10">
        <v>10</v>
      </c>
      <c r="L11" s="10"/>
      <c r="M11" s="10"/>
      <c r="N11" s="10"/>
      <c r="O11" s="10"/>
      <c r="P11" s="10"/>
      <c r="Q11" s="10">
        <f t="shared" si="2"/>
        <v>10</v>
      </c>
      <c r="R11" s="11">
        <f t="shared" si="0"/>
        <v>1</v>
      </c>
      <c r="S11" s="12" t="str">
        <f t="shared" si="1"/>
        <v>FINALIZADO</v>
      </c>
    </row>
    <row r="12" spans="1:19" ht="60" x14ac:dyDescent="0.25">
      <c r="A12" s="5">
        <v>45834</v>
      </c>
      <c r="B12" s="5">
        <v>45834</v>
      </c>
      <c r="C12" s="59" t="s">
        <v>56</v>
      </c>
      <c r="D12" s="6" t="s">
        <v>60</v>
      </c>
      <c r="E12" s="7"/>
      <c r="F12" s="8"/>
      <c r="G12" s="8" t="s">
        <v>17</v>
      </c>
      <c r="H12" s="8" t="s">
        <v>72</v>
      </c>
      <c r="I12" s="8" t="s">
        <v>18</v>
      </c>
      <c r="J12" s="9">
        <v>10</v>
      </c>
      <c r="K12" s="10">
        <v>10</v>
      </c>
      <c r="L12" s="10"/>
      <c r="M12" s="10"/>
      <c r="N12" s="10"/>
      <c r="O12" s="10"/>
      <c r="P12" s="10"/>
      <c r="Q12" s="10">
        <f t="shared" si="2"/>
        <v>10</v>
      </c>
      <c r="R12" s="11">
        <f t="shared" si="0"/>
        <v>1</v>
      </c>
      <c r="S12" s="12" t="str">
        <f t="shared" si="1"/>
        <v>FINALIZADO</v>
      </c>
    </row>
    <row r="13" spans="1:19" ht="45" x14ac:dyDescent="0.25">
      <c r="A13" s="5">
        <v>45834</v>
      </c>
      <c r="B13" s="5">
        <v>45834</v>
      </c>
      <c r="C13" s="59" t="s">
        <v>56</v>
      </c>
      <c r="D13" s="6" t="s">
        <v>63</v>
      </c>
      <c r="E13" s="7"/>
      <c r="F13" s="8"/>
      <c r="G13" s="8" t="s">
        <v>17</v>
      </c>
      <c r="H13" s="60" t="s">
        <v>68</v>
      </c>
      <c r="I13" s="8" t="s">
        <v>18</v>
      </c>
      <c r="J13" s="9">
        <v>10</v>
      </c>
      <c r="K13" s="10">
        <v>10</v>
      </c>
      <c r="L13" s="10"/>
      <c r="M13" s="10"/>
      <c r="N13" s="10"/>
      <c r="O13" s="10"/>
      <c r="P13" s="10"/>
      <c r="Q13" s="10">
        <f t="shared" si="2"/>
        <v>10</v>
      </c>
      <c r="R13" s="11">
        <f t="shared" si="0"/>
        <v>1</v>
      </c>
      <c r="S13" s="12" t="str">
        <f t="shared" si="1"/>
        <v>FINALIZADO</v>
      </c>
    </row>
    <row r="14" spans="1:19" ht="45" x14ac:dyDescent="0.25">
      <c r="A14" s="5">
        <v>45834</v>
      </c>
      <c r="B14" s="5">
        <v>45834</v>
      </c>
      <c r="C14" s="59" t="s">
        <v>56</v>
      </c>
      <c r="D14" s="6" t="s">
        <v>63</v>
      </c>
      <c r="E14" s="7"/>
      <c r="F14" s="8"/>
      <c r="G14" s="8" t="s">
        <v>17</v>
      </c>
      <c r="H14" s="15" t="s">
        <v>73</v>
      </c>
      <c r="I14" s="8" t="s">
        <v>18</v>
      </c>
      <c r="J14" s="16">
        <v>10</v>
      </c>
      <c r="K14" s="17">
        <v>10</v>
      </c>
      <c r="L14" s="17"/>
      <c r="M14" s="17"/>
      <c r="N14" s="17"/>
      <c r="O14" s="17"/>
      <c r="P14" s="17"/>
      <c r="Q14" s="10">
        <f t="shared" si="2"/>
        <v>10</v>
      </c>
      <c r="R14" s="11">
        <f t="shared" si="0"/>
        <v>1</v>
      </c>
      <c r="S14" s="12" t="str">
        <f t="shared" si="1"/>
        <v>FINALIZADO</v>
      </c>
    </row>
    <row r="15" spans="1:19" ht="45" x14ac:dyDescent="0.25">
      <c r="A15" s="5">
        <v>45834</v>
      </c>
      <c r="B15" s="5">
        <v>45834</v>
      </c>
      <c r="C15" s="59" t="s">
        <v>56</v>
      </c>
      <c r="D15" s="6" t="s">
        <v>63</v>
      </c>
      <c r="E15" s="7"/>
      <c r="F15" s="8"/>
      <c r="G15" s="8" t="s">
        <v>17</v>
      </c>
      <c r="H15" s="15" t="s">
        <v>72</v>
      </c>
      <c r="I15" s="8" t="s">
        <v>18</v>
      </c>
      <c r="J15" s="16">
        <v>10</v>
      </c>
      <c r="K15" s="17">
        <v>10</v>
      </c>
      <c r="L15" s="17"/>
      <c r="M15" s="17"/>
      <c r="N15" s="17"/>
      <c r="O15" s="17"/>
      <c r="P15" s="17"/>
      <c r="Q15" s="10">
        <f t="shared" si="2"/>
        <v>10</v>
      </c>
      <c r="R15" s="11">
        <f t="shared" si="0"/>
        <v>1</v>
      </c>
      <c r="S15" s="12" t="str">
        <f t="shared" si="1"/>
        <v>FINALIZADO</v>
      </c>
    </row>
    <row r="16" spans="1:19" ht="45" x14ac:dyDescent="0.25">
      <c r="A16" s="13">
        <v>45834</v>
      </c>
      <c r="B16" s="5">
        <v>45834</v>
      </c>
      <c r="C16" s="61" t="s">
        <v>56</v>
      </c>
      <c r="D16" s="6" t="s">
        <v>57</v>
      </c>
      <c r="E16" s="7"/>
      <c r="F16" s="8"/>
      <c r="G16" s="8" t="s">
        <v>17</v>
      </c>
      <c r="H16" s="15" t="s">
        <v>73</v>
      </c>
      <c r="I16" s="8" t="s">
        <v>18</v>
      </c>
      <c r="J16" s="16">
        <v>10</v>
      </c>
      <c r="K16" s="17">
        <v>10</v>
      </c>
      <c r="L16" s="17"/>
      <c r="M16" s="17"/>
      <c r="N16" s="17"/>
      <c r="O16" s="17"/>
      <c r="P16" s="17"/>
      <c r="Q16" s="10">
        <f t="shared" si="2"/>
        <v>10</v>
      </c>
      <c r="R16" s="11">
        <f t="shared" si="0"/>
        <v>1</v>
      </c>
      <c r="S16" s="12" t="str">
        <f t="shared" si="1"/>
        <v>FINALIZADO</v>
      </c>
    </row>
    <row r="17" spans="1:19" ht="45" x14ac:dyDescent="0.25">
      <c r="A17" s="13">
        <v>45834</v>
      </c>
      <c r="B17" s="5">
        <v>45834</v>
      </c>
      <c r="C17" s="61" t="s">
        <v>56</v>
      </c>
      <c r="D17" s="6" t="s">
        <v>57</v>
      </c>
      <c r="E17" s="7"/>
      <c r="F17" s="8"/>
      <c r="G17" s="8" t="s">
        <v>17</v>
      </c>
      <c r="H17" s="15" t="s">
        <v>72</v>
      </c>
      <c r="I17" s="8" t="s">
        <v>18</v>
      </c>
      <c r="J17" s="16">
        <v>10</v>
      </c>
      <c r="K17" s="17">
        <v>10</v>
      </c>
      <c r="L17" s="17"/>
      <c r="M17" s="17"/>
      <c r="N17" s="17"/>
      <c r="O17" s="17"/>
      <c r="P17" s="17"/>
      <c r="Q17" s="10">
        <f t="shared" si="2"/>
        <v>10</v>
      </c>
      <c r="R17" s="11">
        <f t="shared" si="0"/>
        <v>1</v>
      </c>
      <c r="S17" s="12" t="str">
        <f t="shared" si="1"/>
        <v>FINALIZADO</v>
      </c>
    </row>
    <row r="18" spans="1:19" ht="45" x14ac:dyDescent="0.25">
      <c r="A18" s="13">
        <v>45835</v>
      </c>
      <c r="B18" s="13"/>
      <c r="C18" s="61" t="s">
        <v>56</v>
      </c>
      <c r="D18" s="6" t="s">
        <v>63</v>
      </c>
      <c r="E18" s="7" t="s">
        <v>58</v>
      </c>
      <c r="F18" s="8" t="s">
        <v>74</v>
      </c>
      <c r="G18" s="8" t="s">
        <v>19</v>
      </c>
      <c r="H18" s="15"/>
      <c r="I18" s="15" t="s">
        <v>20</v>
      </c>
      <c r="J18" s="16">
        <v>1825</v>
      </c>
      <c r="K18" s="17">
        <v>131</v>
      </c>
      <c r="L18" s="17"/>
      <c r="M18" s="17"/>
      <c r="N18" s="17"/>
      <c r="O18" s="17"/>
      <c r="P18" s="17"/>
      <c r="Q18" s="10">
        <f t="shared" si="2"/>
        <v>131</v>
      </c>
      <c r="R18" s="11">
        <f t="shared" si="0"/>
        <v>7.1780821917808213E-2</v>
      </c>
      <c r="S18" s="12" t="str">
        <f t="shared" si="1"/>
        <v>OBSERVADO</v>
      </c>
    </row>
    <row r="19" spans="1:19" ht="45" x14ac:dyDescent="0.25">
      <c r="A19" s="13">
        <v>45835</v>
      </c>
      <c r="B19" s="13">
        <v>45835</v>
      </c>
      <c r="C19" s="61" t="s">
        <v>56</v>
      </c>
      <c r="D19" s="6" t="s">
        <v>63</v>
      </c>
      <c r="E19" s="7"/>
      <c r="F19" s="8"/>
      <c r="G19" s="8" t="s">
        <v>17</v>
      </c>
      <c r="H19" s="15" t="s">
        <v>75</v>
      </c>
      <c r="I19" s="15" t="s">
        <v>18</v>
      </c>
      <c r="J19" s="16">
        <v>10</v>
      </c>
      <c r="K19" s="17">
        <v>10</v>
      </c>
      <c r="L19" s="17"/>
      <c r="M19" s="17"/>
      <c r="N19" s="17"/>
      <c r="O19" s="17"/>
      <c r="P19" s="17"/>
      <c r="Q19" s="10">
        <f t="shared" si="2"/>
        <v>10</v>
      </c>
      <c r="R19" s="11">
        <f t="shared" si="0"/>
        <v>1</v>
      </c>
      <c r="S19" s="12" t="str">
        <f t="shared" si="1"/>
        <v>FINALIZADO</v>
      </c>
    </row>
    <row r="20" spans="1:19" ht="45" x14ac:dyDescent="0.25">
      <c r="A20" s="13">
        <v>45835</v>
      </c>
      <c r="B20" s="13"/>
      <c r="C20" s="61" t="s">
        <v>56</v>
      </c>
      <c r="D20" s="6" t="s">
        <v>57</v>
      </c>
      <c r="E20" s="7" t="s">
        <v>58</v>
      </c>
      <c r="F20" s="8" t="s">
        <v>76</v>
      </c>
      <c r="G20" s="8" t="s">
        <v>19</v>
      </c>
      <c r="H20" s="15"/>
      <c r="I20" s="15" t="s">
        <v>20</v>
      </c>
      <c r="J20" s="16">
        <v>767</v>
      </c>
      <c r="K20" s="17">
        <v>767</v>
      </c>
      <c r="L20" s="17"/>
      <c r="M20" s="17"/>
      <c r="N20" s="17"/>
      <c r="O20" s="17"/>
      <c r="P20" s="17"/>
      <c r="Q20" s="10">
        <f t="shared" si="2"/>
        <v>767</v>
      </c>
      <c r="R20" s="11">
        <f t="shared" si="0"/>
        <v>1</v>
      </c>
      <c r="S20" s="12" t="str">
        <f t="shared" si="1"/>
        <v>FINALIZADO</v>
      </c>
    </row>
    <row r="21" spans="1:19" ht="45" x14ac:dyDescent="0.25">
      <c r="A21" s="5">
        <v>45810</v>
      </c>
      <c r="B21" s="5">
        <v>45810</v>
      </c>
      <c r="C21" s="61" t="s">
        <v>77</v>
      </c>
      <c r="D21" s="6" t="s">
        <v>78</v>
      </c>
      <c r="E21" s="7" t="s">
        <v>21</v>
      </c>
      <c r="F21" s="8" t="s">
        <v>22</v>
      </c>
      <c r="G21" s="8" t="s">
        <v>19</v>
      </c>
      <c r="H21" s="8"/>
      <c r="I21" s="8" t="s">
        <v>18</v>
      </c>
      <c r="J21" s="9">
        <v>721</v>
      </c>
      <c r="K21" s="10">
        <v>721</v>
      </c>
      <c r="L21" s="10"/>
      <c r="M21" s="10"/>
      <c r="N21" s="10"/>
      <c r="O21" s="10"/>
      <c r="P21" s="10"/>
      <c r="Q21" s="10">
        <f t="shared" si="2"/>
        <v>721</v>
      </c>
      <c r="R21" s="11">
        <f t="shared" si="0"/>
        <v>1</v>
      </c>
      <c r="S21" s="12" t="str">
        <f t="shared" si="1"/>
        <v>FINALIZADO</v>
      </c>
    </row>
    <row r="22" spans="1:19" ht="45" x14ac:dyDescent="0.25">
      <c r="A22" s="5">
        <v>45811</v>
      </c>
      <c r="B22" s="5">
        <v>45812</v>
      </c>
      <c r="C22" s="61" t="s">
        <v>77</v>
      </c>
      <c r="D22" s="6" t="s">
        <v>78</v>
      </c>
      <c r="E22" s="7" t="s">
        <v>44</v>
      </c>
      <c r="F22" s="7" t="s">
        <v>44</v>
      </c>
      <c r="G22" s="8" t="s">
        <v>17</v>
      </c>
      <c r="H22" s="8"/>
      <c r="I22" s="8" t="s">
        <v>18</v>
      </c>
      <c r="J22" s="9">
        <v>10</v>
      </c>
      <c r="K22" s="10">
        <v>7</v>
      </c>
      <c r="L22" s="10">
        <v>3</v>
      </c>
      <c r="M22" s="10"/>
      <c r="N22" s="10"/>
      <c r="O22" s="10"/>
      <c r="P22" s="10"/>
      <c r="Q22" s="10">
        <f t="shared" si="2"/>
        <v>10</v>
      </c>
      <c r="R22" s="11">
        <f t="shared" si="0"/>
        <v>1</v>
      </c>
      <c r="S22" s="12" t="str">
        <f t="shared" si="1"/>
        <v>FINALIZADO</v>
      </c>
    </row>
    <row r="23" spans="1:19" ht="45" x14ac:dyDescent="0.25">
      <c r="A23" s="5">
        <v>45812</v>
      </c>
      <c r="B23" s="5">
        <v>45812</v>
      </c>
      <c r="C23" s="61" t="s">
        <v>77</v>
      </c>
      <c r="D23" s="6" t="s">
        <v>78</v>
      </c>
      <c r="E23" s="7" t="s">
        <v>21</v>
      </c>
      <c r="F23" s="7" t="s">
        <v>23</v>
      </c>
      <c r="G23" s="8" t="s">
        <v>19</v>
      </c>
      <c r="H23" s="8"/>
      <c r="I23" s="8" t="s">
        <v>24</v>
      </c>
      <c r="J23" s="9">
        <v>511</v>
      </c>
      <c r="K23" s="10">
        <v>511</v>
      </c>
      <c r="L23" s="10"/>
      <c r="M23" s="10"/>
      <c r="N23" s="10"/>
      <c r="O23" s="10"/>
      <c r="P23" s="10"/>
      <c r="Q23" s="10">
        <f t="shared" si="2"/>
        <v>511</v>
      </c>
      <c r="R23" s="11">
        <f t="shared" si="0"/>
        <v>1</v>
      </c>
      <c r="S23" s="12" t="str">
        <f t="shared" si="1"/>
        <v>FINALIZADO</v>
      </c>
    </row>
    <row r="24" spans="1:19" ht="45" x14ac:dyDescent="0.25">
      <c r="A24" s="5">
        <v>45812</v>
      </c>
      <c r="B24" s="5">
        <v>45814</v>
      </c>
      <c r="C24" s="61" t="s">
        <v>77</v>
      </c>
      <c r="D24" s="6" t="s">
        <v>78</v>
      </c>
      <c r="E24" s="7" t="s">
        <v>21</v>
      </c>
      <c r="F24" s="8" t="s">
        <v>25</v>
      </c>
      <c r="G24" s="8" t="s">
        <v>19</v>
      </c>
      <c r="H24" s="8"/>
      <c r="I24" s="8" t="s">
        <v>18</v>
      </c>
      <c r="J24" s="9">
        <v>2296</v>
      </c>
      <c r="K24" s="10">
        <v>800</v>
      </c>
      <c r="L24" s="10">
        <v>696</v>
      </c>
      <c r="M24" s="10">
        <v>800</v>
      </c>
      <c r="N24" s="10"/>
      <c r="O24" s="10"/>
      <c r="P24" s="10"/>
      <c r="Q24" s="10">
        <f t="shared" si="2"/>
        <v>2296</v>
      </c>
      <c r="R24" s="11">
        <f t="shared" si="0"/>
        <v>1</v>
      </c>
      <c r="S24" s="12" t="str">
        <f t="shared" si="1"/>
        <v>FINALIZADO</v>
      </c>
    </row>
    <row r="25" spans="1:19" ht="45" x14ac:dyDescent="0.25">
      <c r="A25" s="5">
        <v>39238</v>
      </c>
      <c r="B25" s="5">
        <v>45813</v>
      </c>
      <c r="C25" s="61" t="s">
        <v>77</v>
      </c>
      <c r="D25" s="6" t="s">
        <v>78</v>
      </c>
      <c r="E25" s="7" t="s">
        <v>44</v>
      </c>
      <c r="F25" s="7" t="s">
        <v>44</v>
      </c>
      <c r="G25" s="8" t="s">
        <v>17</v>
      </c>
      <c r="H25" s="8"/>
      <c r="I25" s="8" t="s">
        <v>18</v>
      </c>
      <c r="J25" s="9">
        <v>10</v>
      </c>
      <c r="K25" s="10">
        <v>10</v>
      </c>
      <c r="L25" s="10"/>
      <c r="M25" s="10"/>
      <c r="N25" s="10"/>
      <c r="O25" s="10"/>
      <c r="P25" s="10"/>
      <c r="Q25" s="10">
        <f t="shared" si="2"/>
        <v>10</v>
      </c>
      <c r="R25" s="11">
        <f t="shared" si="0"/>
        <v>1</v>
      </c>
      <c r="S25" s="12" t="str">
        <f t="shared" si="1"/>
        <v>FINALIZADO</v>
      </c>
    </row>
    <row r="26" spans="1:19" ht="45" x14ac:dyDescent="0.25">
      <c r="A26" s="5">
        <v>45814</v>
      </c>
      <c r="B26" s="5">
        <v>45814</v>
      </c>
      <c r="C26" s="61" t="s">
        <v>77</v>
      </c>
      <c r="D26" s="6" t="s">
        <v>78</v>
      </c>
      <c r="E26" s="7" t="s">
        <v>44</v>
      </c>
      <c r="F26" s="7" t="s">
        <v>44</v>
      </c>
      <c r="G26" s="8" t="s">
        <v>17</v>
      </c>
      <c r="H26" s="8"/>
      <c r="I26" s="8" t="s">
        <v>18</v>
      </c>
      <c r="J26" s="9">
        <v>10</v>
      </c>
      <c r="K26" s="10">
        <v>10</v>
      </c>
      <c r="L26" s="10"/>
      <c r="M26" s="10"/>
      <c r="N26" s="10"/>
      <c r="O26" s="10"/>
      <c r="P26" s="10"/>
      <c r="Q26" s="10">
        <f t="shared" si="2"/>
        <v>10</v>
      </c>
      <c r="R26" s="11">
        <f t="shared" si="0"/>
        <v>1</v>
      </c>
      <c r="S26" s="12" t="str">
        <f t="shared" si="1"/>
        <v>FINALIZADO</v>
      </c>
    </row>
    <row r="27" spans="1:19" ht="45" x14ac:dyDescent="0.25">
      <c r="A27" s="5">
        <v>45817</v>
      </c>
      <c r="B27" s="5">
        <v>45817</v>
      </c>
      <c r="C27" s="61" t="s">
        <v>77</v>
      </c>
      <c r="D27" s="6" t="s">
        <v>78</v>
      </c>
      <c r="E27" s="7" t="s">
        <v>44</v>
      </c>
      <c r="F27" s="7" t="s">
        <v>44</v>
      </c>
      <c r="G27" s="8" t="s">
        <v>17</v>
      </c>
      <c r="H27" s="8"/>
      <c r="I27" s="8" t="s">
        <v>18</v>
      </c>
      <c r="J27" s="9">
        <v>10</v>
      </c>
      <c r="K27" s="10">
        <v>10</v>
      </c>
      <c r="L27" s="10"/>
      <c r="M27" s="10"/>
      <c r="N27" s="10"/>
      <c r="O27" s="10"/>
      <c r="P27" s="10"/>
      <c r="Q27" s="10">
        <f t="shared" si="2"/>
        <v>10</v>
      </c>
      <c r="R27" s="11">
        <f t="shared" si="0"/>
        <v>1</v>
      </c>
      <c r="S27" s="12" t="str">
        <f t="shared" si="1"/>
        <v>FINALIZADO</v>
      </c>
    </row>
    <row r="28" spans="1:19" ht="45" x14ac:dyDescent="0.25">
      <c r="A28" s="5">
        <v>45819</v>
      </c>
      <c r="B28" s="5">
        <v>45819</v>
      </c>
      <c r="C28" s="61" t="s">
        <v>77</v>
      </c>
      <c r="D28" s="6" t="s">
        <v>78</v>
      </c>
      <c r="E28" s="7" t="s">
        <v>21</v>
      </c>
      <c r="F28" s="7" t="s">
        <v>26</v>
      </c>
      <c r="G28" s="8" t="s">
        <v>19</v>
      </c>
      <c r="H28" s="8"/>
      <c r="I28" s="8" t="s">
        <v>24</v>
      </c>
      <c r="J28" s="9">
        <v>305</v>
      </c>
      <c r="K28" s="10">
        <v>305</v>
      </c>
      <c r="L28" s="10"/>
      <c r="M28" s="10"/>
      <c r="N28" s="10"/>
      <c r="O28" s="10"/>
      <c r="P28" s="10"/>
      <c r="Q28" s="10">
        <f t="shared" si="2"/>
        <v>305</v>
      </c>
      <c r="R28" s="11">
        <f t="shared" si="0"/>
        <v>1</v>
      </c>
      <c r="S28" s="12" t="str">
        <f t="shared" si="1"/>
        <v>FINALIZADO</v>
      </c>
    </row>
    <row r="29" spans="1:19" ht="45" x14ac:dyDescent="0.25">
      <c r="A29" s="5">
        <v>45819</v>
      </c>
      <c r="B29" s="5">
        <v>45820</v>
      </c>
      <c r="C29" s="61" t="s">
        <v>77</v>
      </c>
      <c r="D29" s="6" t="s">
        <v>78</v>
      </c>
      <c r="E29" s="7" t="s">
        <v>21</v>
      </c>
      <c r="F29" s="7" t="s">
        <v>27</v>
      </c>
      <c r="G29" s="8" t="s">
        <v>19</v>
      </c>
      <c r="H29" s="8"/>
      <c r="I29" s="8" t="s">
        <v>20</v>
      </c>
      <c r="J29" s="9">
        <v>1327</v>
      </c>
      <c r="K29" s="10">
        <v>857</v>
      </c>
      <c r="L29" s="10">
        <v>470</v>
      </c>
      <c r="M29" s="10"/>
      <c r="N29" s="10"/>
      <c r="O29" s="10"/>
      <c r="P29" s="10"/>
      <c r="Q29" s="10">
        <f t="shared" si="2"/>
        <v>1327</v>
      </c>
      <c r="R29" s="11">
        <f t="shared" si="0"/>
        <v>1</v>
      </c>
      <c r="S29" s="12" t="str">
        <f t="shared" si="1"/>
        <v>FINALIZADO</v>
      </c>
    </row>
    <row r="30" spans="1:19" ht="45" x14ac:dyDescent="0.25">
      <c r="A30" s="13">
        <v>45820</v>
      </c>
      <c r="B30" s="13">
        <v>45820</v>
      </c>
      <c r="C30" s="61" t="s">
        <v>77</v>
      </c>
      <c r="D30" s="6" t="s">
        <v>78</v>
      </c>
      <c r="E30" s="14" t="s">
        <v>21</v>
      </c>
      <c r="F30" s="14" t="s">
        <v>79</v>
      </c>
      <c r="G30" s="15" t="s">
        <v>19</v>
      </c>
      <c r="H30" s="15"/>
      <c r="I30" s="15" t="s">
        <v>24</v>
      </c>
      <c r="J30" s="16">
        <v>948</v>
      </c>
      <c r="K30" s="17">
        <v>948</v>
      </c>
      <c r="L30" s="17"/>
      <c r="M30" s="17"/>
      <c r="N30" s="17"/>
      <c r="O30" s="17"/>
      <c r="P30" s="17"/>
      <c r="Q30" s="10">
        <f t="shared" si="2"/>
        <v>948</v>
      </c>
      <c r="R30" s="11">
        <f t="shared" si="0"/>
        <v>1</v>
      </c>
      <c r="S30" s="12" t="str">
        <f t="shared" si="1"/>
        <v>FINALIZADO</v>
      </c>
    </row>
    <row r="31" spans="1:19" ht="45" x14ac:dyDescent="0.25">
      <c r="A31" s="13">
        <v>45821</v>
      </c>
      <c r="B31" s="13">
        <v>45828</v>
      </c>
      <c r="C31" s="61" t="s">
        <v>77</v>
      </c>
      <c r="D31" s="6" t="s">
        <v>78</v>
      </c>
      <c r="E31" s="14" t="s">
        <v>21</v>
      </c>
      <c r="F31" s="14" t="s">
        <v>80</v>
      </c>
      <c r="G31" s="15" t="s">
        <v>19</v>
      </c>
      <c r="H31" s="15"/>
      <c r="I31" s="15" t="s">
        <v>18</v>
      </c>
      <c r="J31" s="16">
        <v>7822</v>
      </c>
      <c r="K31" s="17">
        <v>3432</v>
      </c>
      <c r="L31" s="17">
        <v>1205</v>
      </c>
      <c r="M31" s="17">
        <v>2000</v>
      </c>
      <c r="N31" s="17">
        <v>1085</v>
      </c>
      <c r="O31" s="17">
        <v>100</v>
      </c>
      <c r="P31" s="17"/>
      <c r="Q31" s="10">
        <f t="shared" si="2"/>
        <v>7822</v>
      </c>
      <c r="R31" s="11">
        <f t="shared" si="0"/>
        <v>1</v>
      </c>
      <c r="S31" s="12" t="str">
        <f t="shared" si="1"/>
        <v>FINALIZADO</v>
      </c>
    </row>
    <row r="32" spans="1:19" ht="45" x14ac:dyDescent="0.25">
      <c r="A32" s="13">
        <v>45821</v>
      </c>
      <c r="B32" s="13">
        <v>45821</v>
      </c>
      <c r="C32" s="61" t="s">
        <v>77</v>
      </c>
      <c r="D32" s="6" t="s">
        <v>78</v>
      </c>
      <c r="E32" s="14" t="s">
        <v>44</v>
      </c>
      <c r="F32" s="14" t="s">
        <v>44</v>
      </c>
      <c r="G32" s="15" t="s">
        <v>17</v>
      </c>
      <c r="H32" s="15"/>
      <c r="I32" s="15" t="s">
        <v>18</v>
      </c>
      <c r="J32" s="16">
        <v>10</v>
      </c>
      <c r="K32" s="17">
        <v>10</v>
      </c>
      <c r="L32" s="17"/>
      <c r="M32" s="17"/>
      <c r="N32" s="17"/>
      <c r="O32" s="17"/>
      <c r="P32" s="17"/>
      <c r="Q32" s="10">
        <f t="shared" si="2"/>
        <v>10</v>
      </c>
      <c r="R32" s="11">
        <f t="shared" si="0"/>
        <v>1</v>
      </c>
      <c r="S32" s="12" t="str">
        <f t="shared" si="1"/>
        <v>FINALIZADO</v>
      </c>
    </row>
    <row r="33" spans="1:19" ht="45" x14ac:dyDescent="0.25">
      <c r="A33" s="13">
        <v>45822</v>
      </c>
      <c r="B33" s="13">
        <v>45822</v>
      </c>
      <c r="C33" s="61" t="s">
        <v>77</v>
      </c>
      <c r="D33" s="6" t="s">
        <v>78</v>
      </c>
      <c r="E33" s="14" t="s">
        <v>44</v>
      </c>
      <c r="F33" s="14" t="s">
        <v>44</v>
      </c>
      <c r="G33" s="15" t="s">
        <v>17</v>
      </c>
      <c r="H33" s="15"/>
      <c r="I33" s="15" t="s">
        <v>18</v>
      </c>
      <c r="J33" s="16">
        <v>10</v>
      </c>
      <c r="K33" s="17">
        <v>10</v>
      </c>
      <c r="L33" s="17"/>
      <c r="M33" s="17"/>
      <c r="N33" s="17"/>
      <c r="O33" s="17"/>
      <c r="P33" s="17"/>
      <c r="Q33" s="10">
        <f t="shared" si="2"/>
        <v>10</v>
      </c>
      <c r="R33" s="11">
        <f t="shared" si="0"/>
        <v>1</v>
      </c>
      <c r="S33" s="12" t="str">
        <f t="shared" si="1"/>
        <v>FINALIZADO</v>
      </c>
    </row>
    <row r="34" spans="1:19" ht="45" x14ac:dyDescent="0.25">
      <c r="A34" s="13">
        <v>45826</v>
      </c>
      <c r="B34" s="13">
        <v>45828</v>
      </c>
      <c r="C34" s="61" t="s">
        <v>77</v>
      </c>
      <c r="D34" s="6" t="s">
        <v>81</v>
      </c>
      <c r="E34" s="14" t="s">
        <v>58</v>
      </c>
      <c r="F34" s="14" t="s">
        <v>82</v>
      </c>
      <c r="G34" s="15" t="s">
        <v>19</v>
      </c>
      <c r="H34" s="15"/>
      <c r="I34" s="15" t="s">
        <v>20</v>
      </c>
      <c r="J34" s="16">
        <v>481</v>
      </c>
      <c r="K34" s="17">
        <v>200</v>
      </c>
      <c r="L34" s="17">
        <v>150</v>
      </c>
      <c r="M34" s="17">
        <v>131</v>
      </c>
      <c r="N34" s="17"/>
      <c r="O34" s="17"/>
      <c r="P34" s="17"/>
      <c r="Q34" s="10">
        <f t="shared" si="2"/>
        <v>481</v>
      </c>
      <c r="R34" s="11">
        <f t="shared" si="0"/>
        <v>1</v>
      </c>
      <c r="S34" s="12" t="str">
        <f t="shared" si="1"/>
        <v>FINALIZADO</v>
      </c>
    </row>
    <row r="35" spans="1:19" ht="30" x14ac:dyDescent="0.25">
      <c r="A35" s="13">
        <v>45826</v>
      </c>
      <c r="B35" s="13">
        <v>45828</v>
      </c>
      <c r="C35" s="61" t="s">
        <v>77</v>
      </c>
      <c r="D35" s="6" t="s">
        <v>83</v>
      </c>
      <c r="E35" s="14" t="s">
        <v>58</v>
      </c>
      <c r="F35" s="14" t="s">
        <v>84</v>
      </c>
      <c r="G35" s="15" t="s">
        <v>19</v>
      </c>
      <c r="H35" s="15"/>
      <c r="I35" s="15" t="s">
        <v>24</v>
      </c>
      <c r="J35" s="16">
        <v>329</v>
      </c>
      <c r="K35" s="17">
        <v>80</v>
      </c>
      <c r="L35" s="17">
        <v>190</v>
      </c>
      <c r="M35" s="17">
        <v>59</v>
      </c>
      <c r="N35" s="17"/>
      <c r="O35" s="17"/>
      <c r="P35" s="17"/>
      <c r="Q35" s="10">
        <f t="shared" si="2"/>
        <v>329</v>
      </c>
      <c r="R35" s="11">
        <f t="shared" si="0"/>
        <v>1</v>
      </c>
      <c r="S35" s="12" t="str">
        <f t="shared" si="1"/>
        <v>FINALIZADO</v>
      </c>
    </row>
    <row r="36" spans="1:19" ht="45" x14ac:dyDescent="0.25">
      <c r="A36" s="13">
        <v>45827</v>
      </c>
      <c r="B36" s="13">
        <v>45827</v>
      </c>
      <c r="C36" s="61" t="s">
        <v>77</v>
      </c>
      <c r="D36" s="6" t="s">
        <v>78</v>
      </c>
      <c r="E36" s="14" t="s">
        <v>44</v>
      </c>
      <c r="F36" s="14" t="s">
        <v>44</v>
      </c>
      <c r="G36" s="15" t="s">
        <v>17</v>
      </c>
      <c r="H36" s="15"/>
      <c r="I36" s="15" t="s">
        <v>18</v>
      </c>
      <c r="J36" s="16">
        <v>10</v>
      </c>
      <c r="K36" s="17">
        <v>10</v>
      </c>
      <c r="L36" s="17"/>
      <c r="M36" s="17"/>
      <c r="N36" s="17"/>
      <c r="O36" s="17"/>
      <c r="P36" s="17"/>
      <c r="Q36" s="10">
        <f t="shared" si="2"/>
        <v>10</v>
      </c>
      <c r="R36" s="11">
        <f t="shared" si="0"/>
        <v>1</v>
      </c>
      <c r="S36" s="12" t="str">
        <f t="shared" si="1"/>
        <v>FINALIZADO</v>
      </c>
    </row>
    <row r="37" spans="1:19" ht="45" x14ac:dyDescent="0.25">
      <c r="A37" s="13">
        <v>45828</v>
      </c>
      <c r="B37" s="13">
        <v>45828</v>
      </c>
      <c r="C37" s="61" t="s">
        <v>77</v>
      </c>
      <c r="D37" s="6" t="s">
        <v>78</v>
      </c>
      <c r="E37" s="14" t="s">
        <v>44</v>
      </c>
      <c r="F37" s="14" t="s">
        <v>44</v>
      </c>
      <c r="G37" s="15" t="s">
        <v>17</v>
      </c>
      <c r="H37" s="15"/>
      <c r="I37" s="15" t="s">
        <v>18</v>
      </c>
      <c r="J37" s="16">
        <v>10</v>
      </c>
      <c r="K37" s="17">
        <v>10</v>
      </c>
      <c r="L37" s="17"/>
      <c r="M37" s="17"/>
      <c r="N37" s="17"/>
      <c r="O37" s="17"/>
      <c r="P37" s="17"/>
      <c r="Q37" s="10">
        <f t="shared" si="2"/>
        <v>10</v>
      </c>
      <c r="R37" s="11">
        <f t="shared" si="0"/>
        <v>1</v>
      </c>
      <c r="S37" s="12" t="str">
        <f t="shared" si="1"/>
        <v>FINALIZADO</v>
      </c>
    </row>
    <row r="38" spans="1:19" ht="45" x14ac:dyDescent="0.25">
      <c r="A38" s="13">
        <v>45828</v>
      </c>
      <c r="B38" s="13">
        <v>45828</v>
      </c>
      <c r="C38" s="61" t="s">
        <v>77</v>
      </c>
      <c r="D38" s="6" t="s">
        <v>81</v>
      </c>
      <c r="E38" s="14" t="s">
        <v>44</v>
      </c>
      <c r="F38" s="14" t="s">
        <v>44</v>
      </c>
      <c r="G38" s="15" t="s">
        <v>17</v>
      </c>
      <c r="H38" s="15"/>
      <c r="I38" s="15" t="s">
        <v>18</v>
      </c>
      <c r="J38" s="16">
        <v>10</v>
      </c>
      <c r="K38" s="17">
        <v>10</v>
      </c>
      <c r="L38" s="17"/>
      <c r="M38" s="17"/>
      <c r="N38" s="17"/>
      <c r="O38" s="17"/>
      <c r="P38" s="17"/>
      <c r="Q38" s="10">
        <f t="shared" si="2"/>
        <v>10</v>
      </c>
      <c r="R38" s="11">
        <f t="shared" si="0"/>
        <v>1</v>
      </c>
      <c r="S38" s="12" t="str">
        <f t="shared" si="1"/>
        <v>FINALIZADO</v>
      </c>
    </row>
    <row r="39" spans="1:19" ht="30" x14ac:dyDescent="0.25">
      <c r="A39" s="13">
        <v>45828</v>
      </c>
      <c r="B39" s="13">
        <v>45828</v>
      </c>
      <c r="C39" s="61" t="s">
        <v>77</v>
      </c>
      <c r="D39" s="6" t="s">
        <v>83</v>
      </c>
      <c r="E39" s="14" t="s">
        <v>44</v>
      </c>
      <c r="F39" s="14" t="s">
        <v>44</v>
      </c>
      <c r="G39" s="15" t="s">
        <v>17</v>
      </c>
      <c r="H39" s="15"/>
      <c r="I39" s="15" t="s">
        <v>18</v>
      </c>
      <c r="J39" s="16">
        <v>10</v>
      </c>
      <c r="K39" s="17">
        <v>10</v>
      </c>
      <c r="L39" s="17"/>
      <c r="M39" s="17"/>
      <c r="N39" s="17"/>
      <c r="O39" s="17"/>
      <c r="P39" s="17"/>
      <c r="Q39" s="10">
        <f t="shared" si="2"/>
        <v>10</v>
      </c>
      <c r="R39" s="11">
        <f t="shared" si="0"/>
        <v>1</v>
      </c>
      <c r="S39" s="12" t="str">
        <f t="shared" si="1"/>
        <v>FINALIZADO</v>
      </c>
    </row>
    <row r="40" spans="1:19" ht="45" x14ac:dyDescent="0.25">
      <c r="A40" s="13">
        <v>45828</v>
      </c>
      <c r="B40" s="13">
        <v>45835</v>
      </c>
      <c r="C40" s="61" t="s">
        <v>77</v>
      </c>
      <c r="D40" s="6" t="s">
        <v>78</v>
      </c>
      <c r="E40" s="14" t="s">
        <v>58</v>
      </c>
      <c r="F40" s="14" t="s">
        <v>85</v>
      </c>
      <c r="G40" s="15" t="s">
        <v>19</v>
      </c>
      <c r="H40" s="15"/>
      <c r="I40" s="15" t="s">
        <v>18</v>
      </c>
      <c r="J40" s="16">
        <v>1450</v>
      </c>
      <c r="K40" s="17">
        <v>200</v>
      </c>
      <c r="L40" s="17">
        <v>200</v>
      </c>
      <c r="M40" s="17">
        <v>377</v>
      </c>
      <c r="N40" s="17"/>
      <c r="O40" s="17"/>
      <c r="P40" s="17">
        <v>673</v>
      </c>
      <c r="Q40" s="10">
        <f t="shared" si="2"/>
        <v>1450</v>
      </c>
      <c r="R40" s="11">
        <f t="shared" si="0"/>
        <v>1</v>
      </c>
      <c r="S40" s="12" t="str">
        <f t="shared" si="1"/>
        <v>FINALIZADO</v>
      </c>
    </row>
    <row r="41" spans="1:19" ht="45" x14ac:dyDescent="0.25">
      <c r="A41" s="13">
        <v>45831</v>
      </c>
      <c r="B41" s="13">
        <v>45832</v>
      </c>
      <c r="C41" s="61" t="s">
        <v>77</v>
      </c>
      <c r="D41" s="6" t="s">
        <v>81</v>
      </c>
      <c r="E41" s="14" t="s">
        <v>58</v>
      </c>
      <c r="F41" s="14" t="s">
        <v>86</v>
      </c>
      <c r="G41" s="15" t="s">
        <v>19</v>
      </c>
      <c r="H41" s="15"/>
      <c r="I41" s="15" t="s">
        <v>20</v>
      </c>
      <c r="J41" s="16">
        <v>1054</v>
      </c>
      <c r="K41" s="17">
        <v>100</v>
      </c>
      <c r="L41" s="17">
        <v>600</v>
      </c>
      <c r="M41" s="17"/>
      <c r="N41" s="17"/>
      <c r="O41" s="17">
        <v>354</v>
      </c>
      <c r="P41" s="17"/>
      <c r="Q41" s="10">
        <f t="shared" si="2"/>
        <v>1054</v>
      </c>
      <c r="R41" s="11">
        <f t="shared" si="0"/>
        <v>1</v>
      </c>
      <c r="S41" s="12" t="str">
        <f t="shared" si="1"/>
        <v>FINALIZADO</v>
      </c>
    </row>
    <row r="42" spans="1:19" ht="30" x14ac:dyDescent="0.25">
      <c r="A42" s="13">
        <v>45831</v>
      </c>
      <c r="B42" s="13">
        <v>45832</v>
      </c>
      <c r="C42" s="61" t="s">
        <v>77</v>
      </c>
      <c r="D42" s="6" t="s">
        <v>83</v>
      </c>
      <c r="E42" s="14" t="s">
        <v>58</v>
      </c>
      <c r="F42" s="14" t="s">
        <v>87</v>
      </c>
      <c r="G42" s="15" t="s">
        <v>19</v>
      </c>
      <c r="H42" s="15"/>
      <c r="I42" s="15" t="s">
        <v>24</v>
      </c>
      <c r="J42" s="16">
        <v>414</v>
      </c>
      <c r="K42" s="17">
        <v>100</v>
      </c>
      <c r="L42" s="17">
        <v>150</v>
      </c>
      <c r="M42" s="17"/>
      <c r="N42" s="17"/>
      <c r="O42" s="17">
        <v>164</v>
      </c>
      <c r="P42" s="17"/>
      <c r="Q42" s="10">
        <f t="shared" si="2"/>
        <v>414</v>
      </c>
      <c r="R42" s="11">
        <f t="shared" si="0"/>
        <v>1</v>
      </c>
      <c r="S42" s="12" t="str">
        <f t="shared" si="1"/>
        <v>FINALIZADO</v>
      </c>
    </row>
    <row r="43" spans="1:19" ht="45" x14ac:dyDescent="0.25">
      <c r="A43" s="13">
        <v>45833</v>
      </c>
      <c r="B43" s="13">
        <v>45833</v>
      </c>
      <c r="C43" s="61" t="s">
        <v>77</v>
      </c>
      <c r="D43" s="6" t="s">
        <v>78</v>
      </c>
      <c r="E43" s="14" t="s">
        <v>44</v>
      </c>
      <c r="F43" s="14" t="s">
        <v>44</v>
      </c>
      <c r="G43" s="15" t="s">
        <v>17</v>
      </c>
      <c r="H43" s="15"/>
      <c r="I43" s="15" t="s">
        <v>18</v>
      </c>
      <c r="J43" s="16">
        <v>10</v>
      </c>
      <c r="K43" s="17">
        <v>10</v>
      </c>
      <c r="L43" s="17"/>
      <c r="M43" s="17"/>
      <c r="N43" s="17"/>
      <c r="O43" s="17"/>
      <c r="P43" s="17"/>
      <c r="Q43" s="10">
        <f t="shared" si="2"/>
        <v>10</v>
      </c>
      <c r="R43" s="11">
        <f t="shared" si="0"/>
        <v>1</v>
      </c>
      <c r="S43" s="12" t="str">
        <f t="shared" si="1"/>
        <v>FINALIZADO</v>
      </c>
    </row>
    <row r="44" spans="1:19" ht="30" x14ac:dyDescent="0.25">
      <c r="A44" s="13">
        <v>45833</v>
      </c>
      <c r="B44" s="13">
        <v>45833</v>
      </c>
      <c r="C44" s="61" t="s">
        <v>77</v>
      </c>
      <c r="D44" s="6" t="s">
        <v>83</v>
      </c>
      <c r="E44" s="14" t="s">
        <v>44</v>
      </c>
      <c r="F44" s="14" t="s">
        <v>44</v>
      </c>
      <c r="G44" s="15" t="s">
        <v>17</v>
      </c>
      <c r="H44" s="15"/>
      <c r="I44" s="15" t="s">
        <v>18</v>
      </c>
      <c r="J44" s="16">
        <v>10</v>
      </c>
      <c r="K44" s="17">
        <v>10</v>
      </c>
      <c r="L44" s="10"/>
      <c r="M44" s="10"/>
      <c r="N44" s="10"/>
      <c r="O44" s="10"/>
      <c r="P44" s="10"/>
      <c r="Q44" s="10">
        <f t="shared" si="2"/>
        <v>10</v>
      </c>
      <c r="R44" s="11">
        <f t="shared" si="0"/>
        <v>1</v>
      </c>
      <c r="S44" s="12" t="str">
        <f t="shared" si="1"/>
        <v>FINALIZADO</v>
      </c>
    </row>
    <row r="45" spans="1:19" ht="45" x14ac:dyDescent="0.25">
      <c r="A45" s="13">
        <v>45833</v>
      </c>
      <c r="B45" s="13">
        <v>45833</v>
      </c>
      <c r="C45" s="61" t="s">
        <v>77</v>
      </c>
      <c r="D45" s="6" t="s">
        <v>81</v>
      </c>
      <c r="E45" s="14" t="s">
        <v>44</v>
      </c>
      <c r="F45" s="14" t="s">
        <v>44</v>
      </c>
      <c r="G45" s="15" t="s">
        <v>17</v>
      </c>
      <c r="H45" s="15"/>
      <c r="I45" s="15" t="s">
        <v>18</v>
      </c>
      <c r="J45" s="16">
        <v>10</v>
      </c>
      <c r="K45" s="17">
        <v>10</v>
      </c>
      <c r="L45" s="10"/>
      <c r="M45" s="10"/>
      <c r="N45" s="10"/>
      <c r="O45" s="10"/>
      <c r="P45" s="10"/>
      <c r="Q45" s="10">
        <f t="shared" si="2"/>
        <v>10</v>
      </c>
      <c r="R45" s="11">
        <f t="shared" si="0"/>
        <v>1</v>
      </c>
      <c r="S45" s="12" t="str">
        <f t="shared" si="1"/>
        <v>FINALIZADO</v>
      </c>
    </row>
    <row r="46" spans="1:19" ht="45" x14ac:dyDescent="0.25">
      <c r="A46" s="13">
        <v>45834</v>
      </c>
      <c r="B46" s="13">
        <v>45834</v>
      </c>
      <c r="C46" s="61" t="s">
        <v>77</v>
      </c>
      <c r="D46" s="6" t="s">
        <v>78</v>
      </c>
      <c r="E46" s="14" t="s">
        <v>44</v>
      </c>
      <c r="F46" s="14" t="s">
        <v>44</v>
      </c>
      <c r="G46" s="15" t="s">
        <v>17</v>
      </c>
      <c r="H46" s="15"/>
      <c r="I46" s="15" t="s">
        <v>18</v>
      </c>
      <c r="J46" s="16">
        <v>10</v>
      </c>
      <c r="K46" s="17">
        <v>10</v>
      </c>
      <c r="L46" s="17"/>
      <c r="M46" s="17"/>
      <c r="N46" s="17"/>
      <c r="O46" s="17"/>
      <c r="P46" s="17"/>
      <c r="Q46" s="10">
        <f t="shared" si="2"/>
        <v>10</v>
      </c>
      <c r="R46" s="11">
        <f t="shared" si="0"/>
        <v>1</v>
      </c>
      <c r="S46" s="12" t="str">
        <f t="shared" si="1"/>
        <v>FINALIZADO</v>
      </c>
    </row>
    <row r="47" spans="1:19" ht="30" x14ac:dyDescent="0.25">
      <c r="A47" s="13">
        <v>45834</v>
      </c>
      <c r="B47" s="13">
        <v>45834</v>
      </c>
      <c r="C47" s="61" t="s">
        <v>77</v>
      </c>
      <c r="D47" s="6" t="s">
        <v>83</v>
      </c>
      <c r="E47" s="14" t="s">
        <v>44</v>
      </c>
      <c r="F47" s="14" t="s">
        <v>44</v>
      </c>
      <c r="G47" s="15" t="s">
        <v>17</v>
      </c>
      <c r="H47" s="15"/>
      <c r="I47" s="15" t="s">
        <v>18</v>
      </c>
      <c r="J47" s="16">
        <v>10</v>
      </c>
      <c r="K47" s="17">
        <v>10</v>
      </c>
      <c r="L47" s="10"/>
      <c r="M47" s="10"/>
      <c r="N47" s="10"/>
      <c r="O47" s="10"/>
      <c r="P47" s="10"/>
      <c r="Q47" s="10">
        <f t="shared" si="2"/>
        <v>10</v>
      </c>
      <c r="R47" s="11">
        <f t="shared" si="0"/>
        <v>1</v>
      </c>
      <c r="S47" s="12" t="str">
        <f t="shared" si="1"/>
        <v>FINALIZADO</v>
      </c>
    </row>
    <row r="48" spans="1:19" ht="45" x14ac:dyDescent="0.25">
      <c r="A48" s="13">
        <v>45834</v>
      </c>
      <c r="B48" s="13">
        <v>45834</v>
      </c>
      <c r="C48" s="61" t="s">
        <v>77</v>
      </c>
      <c r="D48" s="6" t="s">
        <v>81</v>
      </c>
      <c r="E48" s="14" t="s">
        <v>44</v>
      </c>
      <c r="F48" s="14" t="s">
        <v>44</v>
      </c>
      <c r="G48" s="15" t="s">
        <v>17</v>
      </c>
      <c r="H48" s="15"/>
      <c r="I48" s="15" t="s">
        <v>18</v>
      </c>
      <c r="J48" s="16">
        <v>10</v>
      </c>
      <c r="K48" s="17">
        <v>10</v>
      </c>
      <c r="L48" s="10"/>
      <c r="M48" s="10"/>
      <c r="N48" s="10"/>
      <c r="O48" s="10"/>
      <c r="P48" s="10"/>
      <c r="Q48" s="10">
        <f t="shared" si="2"/>
        <v>10</v>
      </c>
      <c r="R48" s="11">
        <f t="shared" si="0"/>
        <v>1</v>
      </c>
      <c r="S48" s="12" t="str">
        <f t="shared" si="1"/>
        <v>FINALIZADO</v>
      </c>
    </row>
    <row r="49" spans="1:19" ht="45" x14ac:dyDescent="0.25">
      <c r="A49" s="13">
        <v>45835</v>
      </c>
      <c r="B49" s="13">
        <v>45835</v>
      </c>
      <c r="C49" s="61" t="s">
        <v>77</v>
      </c>
      <c r="D49" s="6" t="s">
        <v>78</v>
      </c>
      <c r="E49" s="14" t="s">
        <v>44</v>
      </c>
      <c r="F49" s="14" t="s">
        <v>44</v>
      </c>
      <c r="G49" s="15" t="s">
        <v>17</v>
      </c>
      <c r="H49" s="15"/>
      <c r="I49" s="15" t="s">
        <v>18</v>
      </c>
      <c r="J49" s="16">
        <v>10</v>
      </c>
      <c r="K49" s="17">
        <v>10</v>
      </c>
      <c r="L49" s="17"/>
      <c r="M49" s="17"/>
      <c r="N49" s="17"/>
      <c r="O49" s="17"/>
      <c r="P49" s="17"/>
      <c r="Q49" s="10">
        <f t="shared" si="2"/>
        <v>10</v>
      </c>
      <c r="R49" s="11">
        <f t="shared" si="0"/>
        <v>1</v>
      </c>
      <c r="S49" s="12" t="str">
        <f t="shared" si="1"/>
        <v>FINALIZADO</v>
      </c>
    </row>
    <row r="50" spans="1:19" ht="30" x14ac:dyDescent="0.25">
      <c r="A50" s="13">
        <v>45835</v>
      </c>
      <c r="B50" s="13">
        <v>45838</v>
      </c>
      <c r="C50" s="61" t="s">
        <v>77</v>
      </c>
      <c r="D50" s="6" t="s">
        <v>83</v>
      </c>
      <c r="E50" s="7" t="s">
        <v>58</v>
      </c>
      <c r="F50" s="7" t="s">
        <v>88</v>
      </c>
      <c r="G50" s="8" t="s">
        <v>19</v>
      </c>
      <c r="H50" s="8"/>
      <c r="I50" s="8" t="s">
        <v>24</v>
      </c>
      <c r="J50" s="9">
        <v>371</v>
      </c>
      <c r="K50" s="10">
        <v>180</v>
      </c>
      <c r="L50" s="10">
        <v>191</v>
      </c>
      <c r="M50" s="10"/>
      <c r="N50" s="10"/>
      <c r="O50" s="10"/>
      <c r="P50" s="10"/>
      <c r="Q50" s="10">
        <f t="shared" si="2"/>
        <v>371</v>
      </c>
      <c r="R50" s="11">
        <f t="shared" si="0"/>
        <v>1</v>
      </c>
      <c r="S50" s="12" t="str">
        <f t="shared" si="1"/>
        <v>FINALIZADO</v>
      </c>
    </row>
    <row r="51" spans="1:19" ht="45" x14ac:dyDescent="0.25">
      <c r="A51" s="13">
        <v>45835</v>
      </c>
      <c r="B51" s="13">
        <v>45838</v>
      </c>
      <c r="C51" s="61" t="s">
        <v>77</v>
      </c>
      <c r="D51" s="6" t="s">
        <v>81</v>
      </c>
      <c r="E51" s="7" t="s">
        <v>58</v>
      </c>
      <c r="F51" s="14" t="s">
        <v>89</v>
      </c>
      <c r="G51" s="8" t="s">
        <v>19</v>
      </c>
      <c r="H51" s="8"/>
      <c r="I51" s="8" t="s">
        <v>20</v>
      </c>
      <c r="J51" s="9">
        <v>694</v>
      </c>
      <c r="K51" s="10">
        <v>400</v>
      </c>
      <c r="L51" s="10">
        <v>294</v>
      </c>
      <c r="M51" s="10"/>
      <c r="N51" s="10"/>
      <c r="O51" s="10"/>
      <c r="P51" s="10"/>
      <c r="Q51" s="10">
        <f t="shared" si="2"/>
        <v>694</v>
      </c>
      <c r="R51" s="11">
        <f t="shared" si="0"/>
        <v>1</v>
      </c>
      <c r="S51" s="12" t="str">
        <f t="shared" si="1"/>
        <v>FINALIZADO</v>
      </c>
    </row>
    <row r="52" spans="1:19" ht="45" x14ac:dyDescent="0.25">
      <c r="A52" s="13">
        <v>45835</v>
      </c>
      <c r="B52" s="13"/>
      <c r="C52" s="61" t="s">
        <v>77</v>
      </c>
      <c r="D52" s="6" t="s">
        <v>78</v>
      </c>
      <c r="E52" s="14" t="s">
        <v>44</v>
      </c>
      <c r="F52" s="14" t="s">
        <v>44</v>
      </c>
      <c r="G52" s="15" t="s">
        <v>17</v>
      </c>
      <c r="H52" s="15"/>
      <c r="I52" s="15" t="s">
        <v>18</v>
      </c>
      <c r="J52" s="16">
        <v>10</v>
      </c>
      <c r="K52" s="17">
        <v>10</v>
      </c>
      <c r="L52" s="17"/>
      <c r="M52" s="17"/>
      <c r="N52" s="17"/>
      <c r="O52" s="17"/>
      <c r="P52" s="17"/>
      <c r="Q52" s="10">
        <f t="shared" si="2"/>
        <v>10</v>
      </c>
      <c r="R52" s="11">
        <f t="shared" si="0"/>
        <v>1</v>
      </c>
      <c r="S52" s="12" t="str">
        <f t="shared" si="1"/>
        <v>FINALIZADO</v>
      </c>
    </row>
    <row r="53" spans="1:19" ht="30" x14ac:dyDescent="0.25">
      <c r="A53" s="13">
        <v>45835</v>
      </c>
      <c r="B53" s="13"/>
      <c r="C53" s="61" t="s">
        <v>77</v>
      </c>
      <c r="D53" s="6" t="s">
        <v>83</v>
      </c>
      <c r="E53" s="7" t="s">
        <v>58</v>
      </c>
      <c r="F53" s="7" t="s">
        <v>88</v>
      </c>
      <c r="G53" s="8" t="s">
        <v>19</v>
      </c>
      <c r="H53" s="8"/>
      <c r="I53" s="8" t="s">
        <v>24</v>
      </c>
      <c r="J53" s="9">
        <v>371</v>
      </c>
      <c r="K53" s="10">
        <v>180</v>
      </c>
      <c r="L53" s="10">
        <v>191</v>
      </c>
      <c r="M53" s="10"/>
      <c r="N53" s="10"/>
      <c r="O53" s="10"/>
      <c r="P53" s="10"/>
      <c r="Q53" s="10">
        <f t="shared" si="2"/>
        <v>371</v>
      </c>
      <c r="R53" s="11">
        <f t="shared" si="0"/>
        <v>1</v>
      </c>
      <c r="S53" s="12" t="str">
        <f t="shared" si="1"/>
        <v>FINALIZADO</v>
      </c>
    </row>
    <row r="54" spans="1:19" ht="45" x14ac:dyDescent="0.25">
      <c r="A54" s="13">
        <v>45835</v>
      </c>
      <c r="B54" s="13"/>
      <c r="C54" s="61" t="s">
        <v>77</v>
      </c>
      <c r="D54" s="6" t="s">
        <v>81</v>
      </c>
      <c r="E54" s="7"/>
      <c r="F54" s="14" t="s">
        <v>89</v>
      </c>
      <c r="G54" s="8" t="s">
        <v>19</v>
      </c>
      <c r="H54" s="8"/>
      <c r="I54" s="8" t="s">
        <v>20</v>
      </c>
      <c r="J54" s="9">
        <v>694</v>
      </c>
      <c r="K54" s="10">
        <v>400</v>
      </c>
      <c r="L54" s="10">
        <v>294</v>
      </c>
      <c r="M54" s="10"/>
      <c r="N54" s="10"/>
      <c r="O54" s="10"/>
      <c r="P54" s="10"/>
      <c r="Q54" s="10">
        <f t="shared" si="2"/>
        <v>694</v>
      </c>
      <c r="R54" s="11">
        <f t="shared" si="0"/>
        <v>1</v>
      </c>
      <c r="S54" s="12" t="str">
        <f t="shared" si="1"/>
        <v>FINALIZADO</v>
      </c>
    </row>
    <row r="55" spans="1:19" ht="45" x14ac:dyDescent="0.25">
      <c r="A55" s="13">
        <v>45838</v>
      </c>
      <c r="B55" s="13"/>
      <c r="C55" s="61" t="s">
        <v>77</v>
      </c>
      <c r="D55" s="6" t="s">
        <v>78</v>
      </c>
      <c r="E55" s="14" t="s">
        <v>58</v>
      </c>
      <c r="F55" s="14" t="s">
        <v>90</v>
      </c>
      <c r="G55" s="15" t="s">
        <v>19</v>
      </c>
      <c r="H55" s="15"/>
      <c r="I55" s="15" t="s">
        <v>18</v>
      </c>
      <c r="J55" s="16">
        <v>1782</v>
      </c>
      <c r="K55" s="17">
        <v>400</v>
      </c>
      <c r="L55" s="17"/>
      <c r="M55" s="17"/>
      <c r="N55" s="17"/>
      <c r="O55" s="17"/>
      <c r="P55" s="17"/>
      <c r="Q55" s="10">
        <f t="shared" si="2"/>
        <v>400</v>
      </c>
      <c r="R55" s="11">
        <f t="shared" si="0"/>
        <v>0.22446689113355781</v>
      </c>
      <c r="S55" s="12" t="str">
        <f t="shared" si="1"/>
        <v>OBSERVADO</v>
      </c>
    </row>
    <row r="56" spans="1:19" ht="45" x14ac:dyDescent="0.25">
      <c r="A56" s="13">
        <v>45838</v>
      </c>
      <c r="B56" s="13"/>
      <c r="C56" s="61" t="s">
        <v>77</v>
      </c>
      <c r="D56" s="6" t="s">
        <v>81</v>
      </c>
      <c r="E56" s="14" t="s">
        <v>58</v>
      </c>
      <c r="F56" s="14" t="s">
        <v>91</v>
      </c>
      <c r="G56" s="15" t="s">
        <v>19</v>
      </c>
      <c r="H56" s="15"/>
      <c r="I56" s="15" t="s">
        <v>20</v>
      </c>
      <c r="J56" s="16">
        <v>592</v>
      </c>
      <c r="K56" s="17">
        <v>500</v>
      </c>
      <c r="L56" s="17"/>
      <c r="M56" s="17"/>
      <c r="N56" s="17"/>
      <c r="O56" s="17"/>
      <c r="P56" s="17"/>
      <c r="Q56" s="10">
        <f t="shared" si="2"/>
        <v>500</v>
      </c>
      <c r="R56" s="11">
        <f t="shared" si="0"/>
        <v>0.84459459459459463</v>
      </c>
      <c r="S56" s="12" t="str">
        <f t="shared" si="1"/>
        <v>EN PROCESO</v>
      </c>
    </row>
    <row r="57" spans="1:19" ht="45" x14ac:dyDescent="0.25">
      <c r="A57" s="5">
        <v>45832</v>
      </c>
      <c r="B57" s="13">
        <v>45833</v>
      </c>
      <c r="C57" s="61" t="s">
        <v>92</v>
      </c>
      <c r="D57" s="6" t="s">
        <v>93</v>
      </c>
      <c r="E57" s="7" t="s">
        <v>61</v>
      </c>
      <c r="F57" s="7" t="s">
        <v>94</v>
      </c>
      <c r="G57" s="8" t="s">
        <v>95</v>
      </c>
      <c r="H57" s="15"/>
      <c r="I57" s="8" t="s">
        <v>20</v>
      </c>
      <c r="J57" s="9">
        <v>25</v>
      </c>
      <c r="K57" s="10">
        <v>10</v>
      </c>
      <c r="L57" s="10">
        <v>15</v>
      </c>
      <c r="M57" s="10"/>
      <c r="N57" s="10"/>
      <c r="O57" s="10"/>
      <c r="P57" s="10"/>
      <c r="Q57" s="10">
        <f t="shared" si="2"/>
        <v>25</v>
      </c>
      <c r="R57" s="11">
        <f t="shared" si="0"/>
        <v>1</v>
      </c>
      <c r="S57" s="12" t="str">
        <f t="shared" si="1"/>
        <v>FINALIZADO</v>
      </c>
    </row>
    <row r="58" spans="1:19" ht="60" x14ac:dyDescent="0.25">
      <c r="A58" s="5">
        <v>45832</v>
      </c>
      <c r="B58" s="13">
        <v>45832</v>
      </c>
      <c r="C58" s="61" t="s">
        <v>92</v>
      </c>
      <c r="D58" s="6" t="s">
        <v>96</v>
      </c>
      <c r="E58" s="7" t="s">
        <v>58</v>
      </c>
      <c r="F58" s="7" t="s">
        <v>97</v>
      </c>
      <c r="G58" s="8" t="s">
        <v>19</v>
      </c>
      <c r="H58" s="18"/>
      <c r="I58" s="8" t="s">
        <v>18</v>
      </c>
      <c r="J58" s="9">
        <v>1505</v>
      </c>
      <c r="K58" s="10">
        <v>600</v>
      </c>
      <c r="L58" s="10">
        <v>905</v>
      </c>
      <c r="M58" s="10"/>
      <c r="N58" s="10"/>
      <c r="O58" s="10"/>
      <c r="P58" s="10"/>
      <c r="Q58" s="10">
        <f t="shared" si="2"/>
        <v>1505</v>
      </c>
      <c r="R58" s="11">
        <f t="shared" si="0"/>
        <v>1</v>
      </c>
      <c r="S58" s="12" t="str">
        <f t="shared" si="1"/>
        <v>FINALIZADO</v>
      </c>
    </row>
    <row r="59" spans="1:19" ht="60" x14ac:dyDescent="0.25">
      <c r="A59" s="5">
        <v>45832</v>
      </c>
      <c r="B59" s="13">
        <v>45835</v>
      </c>
      <c r="C59" s="61" t="s">
        <v>92</v>
      </c>
      <c r="D59" s="6" t="s">
        <v>96</v>
      </c>
      <c r="E59" s="7" t="s">
        <v>61</v>
      </c>
      <c r="F59" s="7" t="s">
        <v>98</v>
      </c>
      <c r="G59" s="8" t="s">
        <v>95</v>
      </c>
      <c r="H59" s="18"/>
      <c r="I59" s="8" t="s">
        <v>18</v>
      </c>
      <c r="J59" s="9">
        <v>34</v>
      </c>
      <c r="K59" s="10">
        <v>25</v>
      </c>
      <c r="L59" s="10">
        <v>9</v>
      </c>
      <c r="M59" s="10"/>
      <c r="N59" s="10"/>
      <c r="O59" s="10"/>
      <c r="P59" s="10"/>
      <c r="Q59" s="10">
        <f t="shared" si="2"/>
        <v>34</v>
      </c>
      <c r="R59" s="11">
        <f t="shared" si="0"/>
        <v>1</v>
      </c>
      <c r="S59" s="12" t="str">
        <f t="shared" si="1"/>
        <v>FINALIZADO</v>
      </c>
    </row>
    <row r="60" spans="1:19" ht="45" x14ac:dyDescent="0.25">
      <c r="A60" s="5">
        <v>45832</v>
      </c>
      <c r="B60" s="13">
        <v>45834</v>
      </c>
      <c r="C60" s="61" t="s">
        <v>92</v>
      </c>
      <c r="D60" s="6" t="s">
        <v>99</v>
      </c>
      <c r="E60" s="7" t="s">
        <v>58</v>
      </c>
      <c r="F60" s="7" t="s">
        <v>100</v>
      </c>
      <c r="G60" s="8" t="s">
        <v>19</v>
      </c>
      <c r="H60" s="18"/>
      <c r="I60" s="8" t="s">
        <v>20</v>
      </c>
      <c r="J60" s="9">
        <v>393</v>
      </c>
      <c r="K60" s="10">
        <v>290</v>
      </c>
      <c r="L60" s="10">
        <v>103</v>
      </c>
      <c r="M60" s="10"/>
      <c r="N60" s="10"/>
      <c r="O60" s="10"/>
      <c r="P60" s="10"/>
      <c r="Q60" s="10">
        <f t="shared" si="2"/>
        <v>393</v>
      </c>
      <c r="R60" s="11">
        <f t="shared" si="0"/>
        <v>1</v>
      </c>
      <c r="S60" s="12" t="str">
        <f t="shared" si="1"/>
        <v>FINALIZADO</v>
      </c>
    </row>
    <row r="61" spans="1:19" ht="45" x14ac:dyDescent="0.25">
      <c r="A61" s="5">
        <v>45832</v>
      </c>
      <c r="B61" s="13">
        <v>45838</v>
      </c>
      <c r="C61" s="61" t="s">
        <v>92</v>
      </c>
      <c r="D61" s="6" t="s">
        <v>99</v>
      </c>
      <c r="E61" s="7" t="s">
        <v>58</v>
      </c>
      <c r="F61" s="7" t="s">
        <v>101</v>
      </c>
      <c r="G61" s="8" t="s">
        <v>19</v>
      </c>
      <c r="H61" s="18"/>
      <c r="I61" s="8" t="s">
        <v>20</v>
      </c>
      <c r="J61" s="9">
        <v>695</v>
      </c>
      <c r="K61" s="10">
        <v>210</v>
      </c>
      <c r="L61" s="10">
        <v>450</v>
      </c>
      <c r="M61" s="10">
        <v>35</v>
      </c>
      <c r="N61" s="10"/>
      <c r="O61" s="10"/>
      <c r="P61" s="10"/>
      <c r="Q61" s="10">
        <f t="shared" si="2"/>
        <v>695</v>
      </c>
      <c r="R61" s="11">
        <f t="shared" si="0"/>
        <v>1</v>
      </c>
      <c r="S61" s="12" t="str">
        <f t="shared" si="1"/>
        <v>FINALIZADO</v>
      </c>
    </row>
    <row r="62" spans="1:19" ht="45" x14ac:dyDescent="0.25">
      <c r="A62" s="5">
        <v>45832</v>
      </c>
      <c r="B62" s="13">
        <v>45832</v>
      </c>
      <c r="C62" s="61" t="s">
        <v>92</v>
      </c>
      <c r="D62" s="6" t="s">
        <v>99</v>
      </c>
      <c r="E62" s="7"/>
      <c r="F62" s="7"/>
      <c r="G62" s="8" t="s">
        <v>17</v>
      </c>
      <c r="H62" s="62" t="s">
        <v>102</v>
      </c>
      <c r="I62" s="8" t="s">
        <v>18</v>
      </c>
      <c r="J62" s="9">
        <v>10</v>
      </c>
      <c r="K62" s="10">
        <v>10</v>
      </c>
      <c r="L62" s="10"/>
      <c r="M62" s="10"/>
      <c r="N62" s="10"/>
      <c r="O62" s="10"/>
      <c r="P62" s="10"/>
      <c r="Q62" s="10">
        <f t="shared" si="2"/>
        <v>10</v>
      </c>
      <c r="R62" s="11">
        <f t="shared" si="0"/>
        <v>1</v>
      </c>
      <c r="S62" s="12" t="str">
        <f t="shared" si="1"/>
        <v>FINALIZADO</v>
      </c>
    </row>
    <row r="63" spans="1:19" ht="60" x14ac:dyDescent="0.25">
      <c r="A63" s="5">
        <v>45833</v>
      </c>
      <c r="B63" s="13">
        <v>45833</v>
      </c>
      <c r="C63" s="61" t="s">
        <v>92</v>
      </c>
      <c r="D63" s="6" t="s">
        <v>96</v>
      </c>
      <c r="E63" s="7"/>
      <c r="F63" s="7"/>
      <c r="G63" s="8" t="s">
        <v>17</v>
      </c>
      <c r="H63" s="18" t="s">
        <v>102</v>
      </c>
      <c r="I63" s="8" t="s">
        <v>18</v>
      </c>
      <c r="J63" s="9">
        <v>10</v>
      </c>
      <c r="K63" s="10">
        <v>10</v>
      </c>
      <c r="L63" s="10"/>
      <c r="M63" s="10"/>
      <c r="N63" s="10"/>
      <c r="O63" s="10"/>
      <c r="P63" s="10"/>
      <c r="Q63" s="10">
        <f t="shared" si="2"/>
        <v>10</v>
      </c>
      <c r="R63" s="11">
        <f t="shared" si="0"/>
        <v>1</v>
      </c>
      <c r="S63" s="12" t="str">
        <f t="shared" si="1"/>
        <v>FINALIZADO</v>
      </c>
    </row>
    <row r="64" spans="1:19" ht="45" x14ac:dyDescent="0.25">
      <c r="A64" s="5">
        <v>45833</v>
      </c>
      <c r="B64" s="13">
        <v>45833</v>
      </c>
      <c r="C64" s="61" t="s">
        <v>92</v>
      </c>
      <c r="D64" s="6" t="s">
        <v>93</v>
      </c>
      <c r="E64" s="7"/>
      <c r="F64" s="7"/>
      <c r="G64" s="8" t="s">
        <v>17</v>
      </c>
      <c r="H64" s="62" t="s">
        <v>102</v>
      </c>
      <c r="I64" s="8" t="s">
        <v>18</v>
      </c>
      <c r="J64" s="9">
        <v>10</v>
      </c>
      <c r="K64" s="10">
        <v>10</v>
      </c>
      <c r="L64" s="10"/>
      <c r="M64" s="10"/>
      <c r="N64" s="10"/>
      <c r="O64" s="10"/>
      <c r="P64" s="10"/>
      <c r="Q64" s="10">
        <f t="shared" si="2"/>
        <v>10</v>
      </c>
      <c r="R64" s="11">
        <f t="shared" si="0"/>
        <v>1</v>
      </c>
      <c r="S64" s="12" t="str">
        <f t="shared" si="1"/>
        <v>FINALIZADO</v>
      </c>
    </row>
    <row r="65" spans="1:19" ht="45" x14ac:dyDescent="0.25">
      <c r="A65" s="5">
        <v>45833</v>
      </c>
      <c r="B65" s="13"/>
      <c r="C65" s="61" t="s">
        <v>92</v>
      </c>
      <c r="D65" s="6" t="s">
        <v>93</v>
      </c>
      <c r="E65" s="7" t="s">
        <v>58</v>
      </c>
      <c r="F65" s="7" t="s">
        <v>103</v>
      </c>
      <c r="G65" s="8" t="s">
        <v>19</v>
      </c>
      <c r="H65" s="63"/>
      <c r="I65" s="8" t="s">
        <v>20</v>
      </c>
      <c r="J65" s="9">
        <v>401</v>
      </c>
      <c r="K65" s="10">
        <v>50</v>
      </c>
      <c r="L65" s="10"/>
      <c r="M65" s="10"/>
      <c r="N65" s="10"/>
      <c r="O65" s="10"/>
      <c r="P65" s="10"/>
      <c r="Q65" s="10">
        <f t="shared" si="2"/>
        <v>50</v>
      </c>
      <c r="R65" s="11">
        <f t="shared" si="0"/>
        <v>0.12468827930174564</v>
      </c>
      <c r="S65" s="12" t="str">
        <f t="shared" si="1"/>
        <v>OBSERVADO</v>
      </c>
    </row>
    <row r="66" spans="1:19" ht="45" x14ac:dyDescent="0.25">
      <c r="A66" s="5">
        <v>45833</v>
      </c>
      <c r="B66" s="13">
        <v>45833</v>
      </c>
      <c r="C66" s="61" t="s">
        <v>92</v>
      </c>
      <c r="D66" s="6" t="s">
        <v>99</v>
      </c>
      <c r="E66" s="7"/>
      <c r="F66" s="7"/>
      <c r="G66" s="8" t="s">
        <v>17</v>
      </c>
      <c r="H66" s="62" t="s">
        <v>102</v>
      </c>
      <c r="I66" s="8" t="s">
        <v>18</v>
      </c>
      <c r="J66" s="9">
        <v>10</v>
      </c>
      <c r="K66" s="10">
        <v>10</v>
      </c>
      <c r="L66" s="10"/>
      <c r="M66" s="10"/>
      <c r="N66" s="10"/>
      <c r="O66" s="10"/>
      <c r="P66" s="10"/>
      <c r="Q66" s="10">
        <f t="shared" si="2"/>
        <v>10</v>
      </c>
      <c r="R66" s="11">
        <f t="shared" ref="R66:R109" si="3">Q66/J66</f>
        <v>1</v>
      </c>
      <c r="S66" s="12" t="str">
        <f t="shared" ref="S66:S109" si="4">IF(R66&gt;=100%,"FINALIZADO", IF(R66&gt;=75%, "EN PROCESO", IF(R66 &gt;=50%, "CUIDADO","OBSERVADO")))</f>
        <v>FINALIZADO</v>
      </c>
    </row>
    <row r="67" spans="1:19" ht="60" x14ac:dyDescent="0.25">
      <c r="A67" s="5">
        <v>45834</v>
      </c>
      <c r="B67" s="13">
        <v>45834</v>
      </c>
      <c r="C67" s="61" t="s">
        <v>92</v>
      </c>
      <c r="D67" s="6" t="s">
        <v>96</v>
      </c>
      <c r="E67" s="7"/>
      <c r="F67" s="7"/>
      <c r="G67" s="8" t="s">
        <v>17</v>
      </c>
      <c r="H67" s="18" t="s">
        <v>104</v>
      </c>
      <c r="I67" s="8" t="s">
        <v>18</v>
      </c>
      <c r="J67" s="9">
        <v>10</v>
      </c>
      <c r="K67" s="10">
        <v>10</v>
      </c>
      <c r="L67" s="10"/>
      <c r="M67" s="10"/>
      <c r="N67" s="10"/>
      <c r="O67" s="10"/>
      <c r="P67" s="10"/>
      <c r="Q67" s="10">
        <f t="shared" ref="Q67:Q109" si="5">K67+L67+M67+N67+O67+P67</f>
        <v>10</v>
      </c>
      <c r="R67" s="11">
        <f t="shared" si="3"/>
        <v>1</v>
      </c>
      <c r="S67" s="12" t="str">
        <f t="shared" si="4"/>
        <v>FINALIZADO</v>
      </c>
    </row>
    <row r="68" spans="1:19" ht="45" x14ac:dyDescent="0.25">
      <c r="A68" s="5">
        <v>45834</v>
      </c>
      <c r="B68" s="13">
        <v>45834</v>
      </c>
      <c r="C68" s="61" t="s">
        <v>92</v>
      </c>
      <c r="D68" s="6" t="s">
        <v>93</v>
      </c>
      <c r="E68" s="7"/>
      <c r="F68" s="7"/>
      <c r="G68" s="8" t="s">
        <v>17</v>
      </c>
      <c r="H68" s="18" t="s">
        <v>104</v>
      </c>
      <c r="I68" s="8" t="s">
        <v>18</v>
      </c>
      <c r="J68" s="9">
        <v>10</v>
      </c>
      <c r="K68" s="10">
        <v>10</v>
      </c>
      <c r="L68" s="10"/>
      <c r="M68" s="10"/>
      <c r="N68" s="10"/>
      <c r="O68" s="10"/>
      <c r="P68" s="10"/>
      <c r="Q68" s="10">
        <f t="shared" si="5"/>
        <v>10</v>
      </c>
      <c r="R68" s="11">
        <f t="shared" si="3"/>
        <v>1</v>
      </c>
      <c r="S68" s="12" t="str">
        <f t="shared" si="4"/>
        <v>FINALIZADO</v>
      </c>
    </row>
    <row r="69" spans="1:19" ht="45" x14ac:dyDescent="0.25">
      <c r="A69" s="5">
        <v>45834</v>
      </c>
      <c r="B69" s="13">
        <v>45834</v>
      </c>
      <c r="C69" s="61" t="s">
        <v>92</v>
      </c>
      <c r="D69" s="6" t="s">
        <v>99</v>
      </c>
      <c r="E69" s="7"/>
      <c r="F69" s="7"/>
      <c r="G69" s="8" t="s">
        <v>17</v>
      </c>
      <c r="H69" s="18" t="s">
        <v>104</v>
      </c>
      <c r="I69" s="8" t="s">
        <v>18</v>
      </c>
      <c r="J69" s="9">
        <v>10</v>
      </c>
      <c r="K69" s="10">
        <v>10</v>
      </c>
      <c r="L69" s="10"/>
      <c r="M69" s="10"/>
      <c r="N69" s="10"/>
      <c r="O69" s="10"/>
      <c r="P69" s="10"/>
      <c r="Q69" s="10">
        <f t="shared" si="5"/>
        <v>10</v>
      </c>
      <c r="R69" s="11">
        <f t="shared" si="3"/>
        <v>1</v>
      </c>
      <c r="S69" s="12" t="str">
        <f t="shared" si="4"/>
        <v>FINALIZADO</v>
      </c>
    </row>
    <row r="70" spans="1:19" ht="60" x14ac:dyDescent="0.25">
      <c r="A70" s="5">
        <v>45835</v>
      </c>
      <c r="B70" s="13"/>
      <c r="C70" s="61" t="s">
        <v>92</v>
      </c>
      <c r="D70" s="6" t="s">
        <v>96</v>
      </c>
      <c r="E70" s="7" t="s">
        <v>61</v>
      </c>
      <c r="F70" s="7" t="s">
        <v>105</v>
      </c>
      <c r="G70" s="8" t="s">
        <v>95</v>
      </c>
      <c r="H70" s="18"/>
      <c r="I70" s="8" t="s">
        <v>18</v>
      </c>
      <c r="J70" s="9">
        <v>103</v>
      </c>
      <c r="K70" s="10">
        <v>25</v>
      </c>
      <c r="L70" s="10"/>
      <c r="M70" s="10"/>
      <c r="N70" s="10"/>
      <c r="O70" s="10"/>
      <c r="P70" s="10"/>
      <c r="Q70" s="10">
        <f t="shared" si="5"/>
        <v>25</v>
      </c>
      <c r="R70" s="11">
        <f t="shared" si="3"/>
        <v>0.24271844660194175</v>
      </c>
      <c r="S70" s="12" t="str">
        <f t="shared" si="4"/>
        <v>OBSERVADO</v>
      </c>
    </row>
    <row r="71" spans="1:19" ht="45" x14ac:dyDescent="0.25">
      <c r="A71" s="13">
        <v>45835</v>
      </c>
      <c r="B71" s="13">
        <v>45835</v>
      </c>
      <c r="C71" s="61" t="s">
        <v>92</v>
      </c>
      <c r="D71" s="6" t="s">
        <v>93</v>
      </c>
      <c r="E71" s="14"/>
      <c r="F71" s="14"/>
      <c r="G71" s="15" t="s">
        <v>17</v>
      </c>
      <c r="H71" s="18" t="s">
        <v>106</v>
      </c>
      <c r="I71" s="15" t="s">
        <v>18</v>
      </c>
      <c r="J71" s="16">
        <v>10</v>
      </c>
      <c r="K71" s="17">
        <v>10</v>
      </c>
      <c r="L71" s="17"/>
      <c r="M71" s="17"/>
      <c r="N71" s="17"/>
      <c r="O71" s="17"/>
      <c r="P71" s="17"/>
      <c r="Q71" s="10">
        <f t="shared" si="5"/>
        <v>10</v>
      </c>
      <c r="R71" s="11">
        <f t="shared" si="3"/>
        <v>1</v>
      </c>
      <c r="S71" s="12" t="str">
        <f t="shared" si="4"/>
        <v>FINALIZADO</v>
      </c>
    </row>
    <row r="72" spans="1:19" ht="60" x14ac:dyDescent="0.25">
      <c r="A72" s="13">
        <v>45832</v>
      </c>
      <c r="B72" s="5">
        <v>45832</v>
      </c>
      <c r="C72" s="61" t="s">
        <v>107</v>
      </c>
      <c r="D72" s="6" t="s">
        <v>108</v>
      </c>
      <c r="E72" s="7" t="s">
        <v>58</v>
      </c>
      <c r="F72" s="14" t="s">
        <v>109</v>
      </c>
      <c r="G72" s="8" t="s">
        <v>19</v>
      </c>
      <c r="H72" s="8"/>
      <c r="I72" s="8" t="s">
        <v>18</v>
      </c>
      <c r="J72" s="16">
        <v>646</v>
      </c>
      <c r="K72" s="17">
        <v>646</v>
      </c>
      <c r="L72" s="17"/>
      <c r="M72" s="17"/>
      <c r="N72" s="17"/>
      <c r="O72" s="17"/>
      <c r="P72" s="17"/>
      <c r="Q72" s="10">
        <f t="shared" si="5"/>
        <v>646</v>
      </c>
      <c r="R72" s="11">
        <f t="shared" si="3"/>
        <v>1</v>
      </c>
      <c r="S72" s="12" t="str">
        <f t="shared" si="4"/>
        <v>FINALIZADO</v>
      </c>
    </row>
    <row r="73" spans="1:19" ht="60" x14ac:dyDescent="0.25">
      <c r="A73" s="13">
        <v>45832</v>
      </c>
      <c r="B73" s="5">
        <v>45834</v>
      </c>
      <c r="C73" s="61" t="s">
        <v>107</v>
      </c>
      <c r="D73" s="6" t="s">
        <v>108</v>
      </c>
      <c r="E73" s="7" t="s">
        <v>58</v>
      </c>
      <c r="F73" s="14" t="s">
        <v>110</v>
      </c>
      <c r="G73" s="8" t="s">
        <v>19</v>
      </c>
      <c r="H73" s="8"/>
      <c r="I73" s="8" t="s">
        <v>18</v>
      </c>
      <c r="J73" s="16">
        <v>1135</v>
      </c>
      <c r="K73" s="17">
        <v>200</v>
      </c>
      <c r="L73" s="17">
        <v>935</v>
      </c>
      <c r="M73" s="17"/>
      <c r="N73" s="17"/>
      <c r="O73" s="17"/>
      <c r="P73" s="17"/>
      <c r="Q73" s="10">
        <f t="shared" si="5"/>
        <v>1135</v>
      </c>
      <c r="R73" s="11">
        <f t="shared" si="3"/>
        <v>1</v>
      </c>
      <c r="S73" s="12" t="str">
        <f t="shared" si="4"/>
        <v>FINALIZADO</v>
      </c>
    </row>
    <row r="74" spans="1:19" ht="60" x14ac:dyDescent="0.25">
      <c r="A74" s="13">
        <v>45828</v>
      </c>
      <c r="B74" s="5">
        <v>45832</v>
      </c>
      <c r="C74" s="61" t="s">
        <v>107</v>
      </c>
      <c r="D74" s="6" t="s">
        <v>111</v>
      </c>
      <c r="E74" s="7" t="s">
        <v>58</v>
      </c>
      <c r="F74" s="14" t="s">
        <v>112</v>
      </c>
      <c r="G74" s="8" t="s">
        <v>19</v>
      </c>
      <c r="H74" s="8"/>
      <c r="I74" s="8" t="s">
        <v>18</v>
      </c>
      <c r="J74" s="16">
        <v>1414</v>
      </c>
      <c r="K74" s="17">
        <v>200</v>
      </c>
      <c r="L74" s="17">
        <v>1000</v>
      </c>
      <c r="M74" s="17">
        <v>214</v>
      </c>
      <c r="N74" s="17"/>
      <c r="O74" s="17"/>
      <c r="P74" s="17"/>
      <c r="Q74" s="10">
        <f t="shared" si="5"/>
        <v>1414</v>
      </c>
      <c r="R74" s="11">
        <f t="shared" si="3"/>
        <v>1</v>
      </c>
      <c r="S74" s="12" t="str">
        <f t="shared" si="4"/>
        <v>FINALIZADO</v>
      </c>
    </row>
    <row r="75" spans="1:19" ht="60" x14ac:dyDescent="0.25">
      <c r="A75" s="13">
        <v>45832</v>
      </c>
      <c r="B75" s="5">
        <v>45838</v>
      </c>
      <c r="C75" s="61" t="s">
        <v>107</v>
      </c>
      <c r="D75" s="6" t="s">
        <v>111</v>
      </c>
      <c r="E75" s="7" t="s">
        <v>58</v>
      </c>
      <c r="F75" s="14" t="s">
        <v>113</v>
      </c>
      <c r="G75" s="8" t="s">
        <v>19</v>
      </c>
      <c r="H75" s="8"/>
      <c r="I75" s="8" t="s">
        <v>18</v>
      </c>
      <c r="J75" s="16">
        <v>1478</v>
      </c>
      <c r="K75" s="17">
        <v>410</v>
      </c>
      <c r="L75" s="17"/>
      <c r="M75" s="17"/>
      <c r="N75" s="17"/>
      <c r="O75" s="17">
        <v>800</v>
      </c>
      <c r="P75" s="17"/>
      <c r="Q75" s="10">
        <f t="shared" si="5"/>
        <v>1210</v>
      </c>
      <c r="R75" s="11">
        <f t="shared" si="3"/>
        <v>0.81867388362652238</v>
      </c>
      <c r="S75" s="12" t="str">
        <f t="shared" si="4"/>
        <v>EN PROCESO</v>
      </c>
    </row>
    <row r="76" spans="1:19" ht="45" x14ac:dyDescent="0.25">
      <c r="A76" s="13">
        <v>45826</v>
      </c>
      <c r="B76" s="5">
        <v>45832</v>
      </c>
      <c r="C76" s="61" t="s">
        <v>107</v>
      </c>
      <c r="D76" s="6" t="s">
        <v>114</v>
      </c>
      <c r="E76" s="7" t="s">
        <v>58</v>
      </c>
      <c r="F76" s="7" t="s">
        <v>115</v>
      </c>
      <c r="G76" s="8" t="s">
        <v>19</v>
      </c>
      <c r="H76" s="8"/>
      <c r="I76" s="8" t="s">
        <v>24</v>
      </c>
      <c r="J76" s="9">
        <v>396</v>
      </c>
      <c r="K76" s="10">
        <v>64</v>
      </c>
      <c r="L76" s="10">
        <v>114</v>
      </c>
      <c r="M76" s="10">
        <v>180</v>
      </c>
      <c r="N76" s="10">
        <v>38</v>
      </c>
      <c r="O76" s="10"/>
      <c r="P76" s="10"/>
      <c r="Q76" s="10">
        <f t="shared" si="5"/>
        <v>396</v>
      </c>
      <c r="R76" s="11">
        <f t="shared" si="3"/>
        <v>1</v>
      </c>
      <c r="S76" s="12" t="str">
        <f t="shared" si="4"/>
        <v>FINALIZADO</v>
      </c>
    </row>
    <row r="77" spans="1:19" ht="45" x14ac:dyDescent="0.25">
      <c r="A77" s="13">
        <v>45832</v>
      </c>
      <c r="B77" s="5">
        <v>45835</v>
      </c>
      <c r="C77" s="61" t="s">
        <v>107</v>
      </c>
      <c r="D77" s="6" t="s">
        <v>114</v>
      </c>
      <c r="E77" s="7" t="s">
        <v>58</v>
      </c>
      <c r="F77" s="7" t="s">
        <v>116</v>
      </c>
      <c r="G77" s="8" t="s">
        <v>19</v>
      </c>
      <c r="H77" s="8"/>
      <c r="I77" s="8" t="s">
        <v>24</v>
      </c>
      <c r="J77" s="9">
        <v>413</v>
      </c>
      <c r="K77" s="10">
        <v>92</v>
      </c>
      <c r="L77" s="10"/>
      <c r="M77" s="10"/>
      <c r="N77" s="10"/>
      <c r="O77" s="10">
        <v>321</v>
      </c>
      <c r="P77" s="10"/>
      <c r="Q77" s="10">
        <f t="shared" si="5"/>
        <v>413</v>
      </c>
      <c r="R77" s="11">
        <f t="shared" si="3"/>
        <v>1</v>
      </c>
      <c r="S77" s="12" t="str">
        <f t="shared" si="4"/>
        <v>FINALIZADO</v>
      </c>
    </row>
    <row r="78" spans="1:19" ht="60" x14ac:dyDescent="0.25">
      <c r="A78" s="13">
        <v>45833</v>
      </c>
      <c r="B78" s="13">
        <v>45834</v>
      </c>
      <c r="C78" s="61" t="s">
        <v>107</v>
      </c>
      <c r="D78" s="6" t="s">
        <v>108</v>
      </c>
      <c r="E78" s="7"/>
      <c r="F78" s="14"/>
      <c r="G78" s="8" t="s">
        <v>17</v>
      </c>
      <c r="H78" s="15" t="s">
        <v>117</v>
      </c>
      <c r="I78" s="15" t="s">
        <v>18</v>
      </c>
      <c r="J78" s="16">
        <v>2155</v>
      </c>
      <c r="K78" s="17">
        <v>1900</v>
      </c>
      <c r="L78" s="17">
        <v>255</v>
      </c>
      <c r="M78" s="17"/>
      <c r="N78" s="10"/>
      <c r="O78" s="10"/>
      <c r="P78" s="10"/>
      <c r="Q78" s="10">
        <f t="shared" si="5"/>
        <v>2155</v>
      </c>
      <c r="R78" s="11">
        <f t="shared" si="3"/>
        <v>1</v>
      </c>
      <c r="S78" s="12" t="str">
        <f t="shared" si="4"/>
        <v>FINALIZADO</v>
      </c>
    </row>
    <row r="79" spans="1:19" ht="60" x14ac:dyDescent="0.25">
      <c r="A79" s="13">
        <v>45833</v>
      </c>
      <c r="B79" s="13">
        <v>45834</v>
      </c>
      <c r="C79" s="61" t="s">
        <v>107</v>
      </c>
      <c r="D79" s="6" t="s">
        <v>111</v>
      </c>
      <c r="E79" s="7"/>
      <c r="F79" s="14"/>
      <c r="G79" s="8" t="s">
        <v>17</v>
      </c>
      <c r="H79" s="15" t="s">
        <v>118</v>
      </c>
      <c r="I79" s="15" t="s">
        <v>18</v>
      </c>
      <c r="J79" s="16">
        <v>218</v>
      </c>
      <c r="K79" s="17">
        <v>218</v>
      </c>
      <c r="L79" s="17"/>
      <c r="M79" s="17"/>
      <c r="N79" s="10"/>
      <c r="O79" s="10"/>
      <c r="P79" s="10"/>
      <c r="Q79" s="10">
        <f t="shared" si="5"/>
        <v>218</v>
      </c>
      <c r="R79" s="11">
        <f t="shared" si="3"/>
        <v>1</v>
      </c>
      <c r="S79" s="12" t="str">
        <f t="shared" si="4"/>
        <v>FINALIZADO</v>
      </c>
    </row>
    <row r="80" spans="1:19" ht="60" x14ac:dyDescent="0.25">
      <c r="A80" s="13">
        <v>45833</v>
      </c>
      <c r="B80" s="13">
        <v>45834</v>
      </c>
      <c r="C80" s="61" t="s">
        <v>107</v>
      </c>
      <c r="D80" s="6" t="s">
        <v>111</v>
      </c>
      <c r="E80" s="7"/>
      <c r="F80" s="14"/>
      <c r="G80" s="8" t="s">
        <v>17</v>
      </c>
      <c r="H80" s="15" t="s">
        <v>117</v>
      </c>
      <c r="I80" s="15" t="s">
        <v>18</v>
      </c>
      <c r="J80" s="16">
        <v>1200</v>
      </c>
      <c r="K80" s="17">
        <v>500</v>
      </c>
      <c r="L80" s="17">
        <v>700</v>
      </c>
      <c r="M80" s="17"/>
      <c r="N80" s="10"/>
      <c r="O80" s="10"/>
      <c r="P80" s="10"/>
      <c r="Q80" s="10">
        <f t="shared" si="5"/>
        <v>1200</v>
      </c>
      <c r="R80" s="11">
        <f t="shared" si="3"/>
        <v>1</v>
      </c>
      <c r="S80" s="12" t="str">
        <f t="shared" si="4"/>
        <v>FINALIZADO</v>
      </c>
    </row>
    <row r="81" spans="1:19" ht="45" x14ac:dyDescent="0.25">
      <c r="A81" s="13">
        <v>45833</v>
      </c>
      <c r="B81" s="13">
        <v>45834</v>
      </c>
      <c r="C81" s="61" t="s">
        <v>107</v>
      </c>
      <c r="D81" s="6" t="s">
        <v>114</v>
      </c>
      <c r="E81" s="7"/>
      <c r="F81" s="14"/>
      <c r="G81" s="8" t="s">
        <v>17</v>
      </c>
      <c r="H81" s="15" t="s">
        <v>119</v>
      </c>
      <c r="I81" s="15" t="s">
        <v>18</v>
      </c>
      <c r="J81" s="16">
        <v>3439</v>
      </c>
      <c r="K81" s="17">
        <v>1800</v>
      </c>
      <c r="L81" s="17">
        <v>1000</v>
      </c>
      <c r="M81" s="17">
        <v>639</v>
      </c>
      <c r="N81" s="10"/>
      <c r="O81" s="10"/>
      <c r="P81" s="10"/>
      <c r="Q81" s="10">
        <f t="shared" si="5"/>
        <v>3439</v>
      </c>
      <c r="R81" s="11">
        <f t="shared" si="3"/>
        <v>1</v>
      </c>
      <c r="S81" s="12" t="str">
        <f t="shared" si="4"/>
        <v>FINALIZADO</v>
      </c>
    </row>
    <row r="82" spans="1:19" ht="60" x14ac:dyDescent="0.25">
      <c r="A82" s="13">
        <v>45834</v>
      </c>
      <c r="B82" s="13">
        <v>45834</v>
      </c>
      <c r="C82" s="61" t="s">
        <v>107</v>
      </c>
      <c r="D82" s="6" t="s">
        <v>108</v>
      </c>
      <c r="E82" s="7"/>
      <c r="F82" s="14"/>
      <c r="G82" s="8" t="s">
        <v>17</v>
      </c>
      <c r="H82" s="15" t="s">
        <v>120</v>
      </c>
      <c r="I82" s="15" t="s">
        <v>20</v>
      </c>
      <c r="J82" s="16">
        <v>5</v>
      </c>
      <c r="K82" s="17">
        <v>5</v>
      </c>
      <c r="L82" s="17"/>
      <c r="M82" s="17"/>
      <c r="N82" s="10"/>
      <c r="O82" s="10"/>
      <c r="P82" s="10"/>
      <c r="Q82" s="10">
        <f t="shared" si="5"/>
        <v>5</v>
      </c>
      <c r="R82" s="11">
        <f t="shared" si="3"/>
        <v>1</v>
      </c>
      <c r="S82" s="12" t="str">
        <f t="shared" si="4"/>
        <v>FINALIZADO</v>
      </c>
    </row>
    <row r="83" spans="1:19" ht="60" x14ac:dyDescent="0.25">
      <c r="A83" s="13">
        <v>45834</v>
      </c>
      <c r="B83" s="13">
        <v>45834</v>
      </c>
      <c r="C83" s="61" t="s">
        <v>107</v>
      </c>
      <c r="D83" s="6" t="s">
        <v>108</v>
      </c>
      <c r="E83" s="7"/>
      <c r="F83" s="14"/>
      <c r="G83" s="8" t="s">
        <v>17</v>
      </c>
      <c r="H83" s="15" t="s">
        <v>121</v>
      </c>
      <c r="I83" s="15" t="s">
        <v>20</v>
      </c>
      <c r="J83" s="16">
        <v>21</v>
      </c>
      <c r="K83" s="17">
        <v>21</v>
      </c>
      <c r="L83" s="17"/>
      <c r="M83" s="17"/>
      <c r="N83" s="10"/>
      <c r="O83" s="10"/>
      <c r="P83" s="10"/>
      <c r="Q83" s="10">
        <f t="shared" si="5"/>
        <v>21</v>
      </c>
      <c r="R83" s="11">
        <f t="shared" si="3"/>
        <v>1</v>
      </c>
      <c r="S83" s="12" t="str">
        <f t="shared" si="4"/>
        <v>FINALIZADO</v>
      </c>
    </row>
    <row r="84" spans="1:19" ht="60" x14ac:dyDescent="0.25">
      <c r="A84" s="13">
        <v>45834</v>
      </c>
      <c r="B84" s="13">
        <v>45834</v>
      </c>
      <c r="C84" s="61" t="s">
        <v>107</v>
      </c>
      <c r="D84" s="6" t="s">
        <v>108</v>
      </c>
      <c r="E84" s="7"/>
      <c r="F84" s="14"/>
      <c r="G84" s="8" t="s">
        <v>17</v>
      </c>
      <c r="H84" s="15" t="s">
        <v>122</v>
      </c>
      <c r="I84" s="15" t="s">
        <v>20</v>
      </c>
      <c r="J84" s="16">
        <v>4</v>
      </c>
      <c r="K84" s="17">
        <v>4</v>
      </c>
      <c r="L84" s="17"/>
      <c r="M84" s="17"/>
      <c r="N84" s="17"/>
      <c r="O84" s="17"/>
      <c r="P84" s="17"/>
      <c r="Q84" s="10">
        <f t="shared" si="5"/>
        <v>4</v>
      </c>
      <c r="R84" s="11">
        <f t="shared" si="3"/>
        <v>1</v>
      </c>
      <c r="S84" s="12" t="str">
        <f t="shared" si="4"/>
        <v>FINALIZADO</v>
      </c>
    </row>
    <row r="85" spans="1:19" ht="60" x14ac:dyDescent="0.25">
      <c r="A85" s="13">
        <v>45834</v>
      </c>
      <c r="B85" s="13">
        <v>45834</v>
      </c>
      <c r="C85" s="61" t="s">
        <v>107</v>
      </c>
      <c r="D85" s="6" t="s">
        <v>108</v>
      </c>
      <c r="E85" s="7"/>
      <c r="F85" s="14"/>
      <c r="G85" s="8" t="s">
        <v>17</v>
      </c>
      <c r="H85" s="15" t="s">
        <v>123</v>
      </c>
      <c r="I85" s="15" t="s">
        <v>20</v>
      </c>
      <c r="J85" s="16">
        <v>4</v>
      </c>
      <c r="K85" s="17">
        <v>4</v>
      </c>
      <c r="L85" s="17"/>
      <c r="M85" s="17"/>
      <c r="N85" s="17"/>
      <c r="O85" s="17"/>
      <c r="P85" s="17"/>
      <c r="Q85" s="10">
        <f t="shared" si="5"/>
        <v>4</v>
      </c>
      <c r="R85" s="11">
        <f t="shared" si="3"/>
        <v>1</v>
      </c>
      <c r="S85" s="12" t="str">
        <f t="shared" si="4"/>
        <v>FINALIZADO</v>
      </c>
    </row>
    <row r="86" spans="1:19" ht="60" x14ac:dyDescent="0.25">
      <c r="A86" s="13">
        <v>45834</v>
      </c>
      <c r="B86" s="13">
        <v>45834</v>
      </c>
      <c r="C86" s="61" t="s">
        <v>107</v>
      </c>
      <c r="D86" s="6" t="s">
        <v>108</v>
      </c>
      <c r="E86" s="7"/>
      <c r="F86" s="14"/>
      <c r="G86" s="8" t="s">
        <v>17</v>
      </c>
      <c r="H86" s="15" t="s">
        <v>124</v>
      </c>
      <c r="I86" s="15" t="s">
        <v>20</v>
      </c>
      <c r="J86" s="16">
        <v>21</v>
      </c>
      <c r="K86" s="17">
        <v>21</v>
      </c>
      <c r="L86" s="17"/>
      <c r="M86" s="17"/>
      <c r="N86" s="17"/>
      <c r="O86" s="17"/>
      <c r="P86" s="17"/>
      <c r="Q86" s="10">
        <f t="shared" si="5"/>
        <v>21</v>
      </c>
      <c r="R86" s="11">
        <f t="shared" si="3"/>
        <v>1</v>
      </c>
      <c r="S86" s="12" t="str">
        <f t="shared" si="4"/>
        <v>FINALIZADO</v>
      </c>
    </row>
    <row r="87" spans="1:19" ht="60" x14ac:dyDescent="0.25">
      <c r="A87" s="13">
        <v>45834</v>
      </c>
      <c r="B87" s="13">
        <v>45834</v>
      </c>
      <c r="C87" s="61" t="s">
        <v>107</v>
      </c>
      <c r="D87" s="6" t="s">
        <v>111</v>
      </c>
      <c r="E87" s="7"/>
      <c r="F87" s="14"/>
      <c r="G87" s="8" t="s">
        <v>17</v>
      </c>
      <c r="H87" s="8" t="s">
        <v>125</v>
      </c>
      <c r="I87" s="15" t="s">
        <v>20</v>
      </c>
      <c r="J87" s="16">
        <v>4</v>
      </c>
      <c r="K87" s="17">
        <v>4</v>
      </c>
      <c r="L87" s="17"/>
      <c r="M87" s="17"/>
      <c r="N87" s="17"/>
      <c r="O87" s="17"/>
      <c r="P87" s="17"/>
      <c r="Q87" s="10">
        <f t="shared" si="5"/>
        <v>4</v>
      </c>
      <c r="R87" s="11">
        <f t="shared" si="3"/>
        <v>1</v>
      </c>
      <c r="S87" s="12" t="str">
        <f t="shared" si="4"/>
        <v>FINALIZADO</v>
      </c>
    </row>
    <row r="88" spans="1:19" ht="60" x14ac:dyDescent="0.25">
      <c r="A88" s="13">
        <v>45834</v>
      </c>
      <c r="B88" s="13">
        <v>45834</v>
      </c>
      <c r="C88" s="61" t="s">
        <v>107</v>
      </c>
      <c r="D88" s="6" t="s">
        <v>111</v>
      </c>
      <c r="E88" s="7"/>
      <c r="F88" s="14"/>
      <c r="G88" s="8" t="s">
        <v>17</v>
      </c>
      <c r="H88" s="8" t="s">
        <v>121</v>
      </c>
      <c r="I88" s="15" t="s">
        <v>20</v>
      </c>
      <c r="J88" s="16">
        <v>21</v>
      </c>
      <c r="K88" s="17">
        <v>21</v>
      </c>
      <c r="L88" s="17"/>
      <c r="M88" s="17"/>
      <c r="N88" s="17"/>
      <c r="O88" s="17"/>
      <c r="P88" s="17"/>
      <c r="Q88" s="10">
        <f t="shared" si="5"/>
        <v>21</v>
      </c>
      <c r="R88" s="11">
        <f t="shared" si="3"/>
        <v>1</v>
      </c>
      <c r="S88" s="12" t="str">
        <f t="shared" si="4"/>
        <v>FINALIZADO</v>
      </c>
    </row>
    <row r="89" spans="1:19" ht="60" x14ac:dyDescent="0.25">
      <c r="A89" s="13">
        <v>45834</v>
      </c>
      <c r="B89" s="13">
        <v>45834</v>
      </c>
      <c r="C89" s="61" t="s">
        <v>107</v>
      </c>
      <c r="D89" s="6" t="s">
        <v>111</v>
      </c>
      <c r="E89" s="7"/>
      <c r="F89" s="14"/>
      <c r="G89" s="8" t="s">
        <v>17</v>
      </c>
      <c r="H89" s="8" t="s">
        <v>122</v>
      </c>
      <c r="I89" s="15" t="s">
        <v>20</v>
      </c>
      <c r="J89" s="16">
        <v>4</v>
      </c>
      <c r="K89" s="17">
        <v>4</v>
      </c>
      <c r="L89" s="17"/>
      <c r="M89" s="17"/>
      <c r="N89" s="17"/>
      <c r="O89" s="17"/>
      <c r="P89" s="17"/>
      <c r="Q89" s="10">
        <f t="shared" si="5"/>
        <v>4</v>
      </c>
      <c r="R89" s="11">
        <f t="shared" si="3"/>
        <v>1</v>
      </c>
      <c r="S89" s="12" t="str">
        <f t="shared" si="4"/>
        <v>FINALIZADO</v>
      </c>
    </row>
    <row r="90" spans="1:19" ht="60" x14ac:dyDescent="0.25">
      <c r="A90" s="13">
        <v>45834</v>
      </c>
      <c r="B90" s="13">
        <v>45834</v>
      </c>
      <c r="C90" s="61" t="s">
        <v>107</v>
      </c>
      <c r="D90" s="6" t="s">
        <v>111</v>
      </c>
      <c r="E90" s="7"/>
      <c r="F90" s="14"/>
      <c r="G90" s="8" t="s">
        <v>17</v>
      </c>
      <c r="H90" s="8" t="s">
        <v>123</v>
      </c>
      <c r="I90" s="15" t="s">
        <v>20</v>
      </c>
      <c r="J90" s="16">
        <v>4</v>
      </c>
      <c r="K90" s="17">
        <v>4</v>
      </c>
      <c r="L90" s="17"/>
      <c r="M90" s="17"/>
      <c r="N90" s="17"/>
      <c r="O90" s="17"/>
      <c r="P90" s="17"/>
      <c r="Q90" s="10">
        <f t="shared" si="5"/>
        <v>4</v>
      </c>
      <c r="R90" s="11">
        <f t="shared" si="3"/>
        <v>1</v>
      </c>
      <c r="S90" s="12" t="str">
        <f t="shared" si="4"/>
        <v>FINALIZADO</v>
      </c>
    </row>
    <row r="91" spans="1:19" ht="60" x14ac:dyDescent="0.25">
      <c r="A91" s="13">
        <v>45834</v>
      </c>
      <c r="B91" s="13">
        <v>45834</v>
      </c>
      <c r="C91" s="61" t="s">
        <v>107</v>
      </c>
      <c r="D91" s="6" t="s">
        <v>111</v>
      </c>
      <c r="E91" s="7"/>
      <c r="F91" s="14"/>
      <c r="G91" s="8" t="s">
        <v>17</v>
      </c>
      <c r="H91" s="8" t="s">
        <v>124</v>
      </c>
      <c r="I91" s="15" t="s">
        <v>20</v>
      </c>
      <c r="J91" s="16">
        <v>21</v>
      </c>
      <c r="K91" s="17">
        <v>21</v>
      </c>
      <c r="L91" s="17"/>
      <c r="M91" s="17"/>
      <c r="N91" s="17"/>
      <c r="O91" s="17"/>
      <c r="P91" s="17"/>
      <c r="Q91" s="10">
        <f t="shared" si="5"/>
        <v>21</v>
      </c>
      <c r="R91" s="11">
        <f t="shared" si="3"/>
        <v>1</v>
      </c>
      <c r="S91" s="12" t="str">
        <f t="shared" si="4"/>
        <v>FINALIZADO</v>
      </c>
    </row>
    <row r="92" spans="1:19" ht="60" x14ac:dyDescent="0.25">
      <c r="A92" s="13">
        <v>45834</v>
      </c>
      <c r="B92" s="13">
        <v>45834</v>
      </c>
      <c r="C92" s="61" t="s">
        <v>107</v>
      </c>
      <c r="D92" s="6" t="s">
        <v>111</v>
      </c>
      <c r="E92" s="7"/>
      <c r="F92" s="14"/>
      <c r="G92" s="8" t="s">
        <v>17</v>
      </c>
      <c r="H92" s="8" t="s">
        <v>126</v>
      </c>
      <c r="I92" s="15" t="s">
        <v>20</v>
      </c>
      <c r="J92" s="16">
        <v>1</v>
      </c>
      <c r="K92" s="17">
        <v>1</v>
      </c>
      <c r="L92" s="17"/>
      <c r="M92" s="17"/>
      <c r="N92" s="17"/>
      <c r="O92" s="17"/>
      <c r="P92" s="17"/>
      <c r="Q92" s="10">
        <f t="shared" si="5"/>
        <v>1</v>
      </c>
      <c r="R92" s="11">
        <f t="shared" si="3"/>
        <v>1</v>
      </c>
      <c r="S92" s="12" t="str">
        <f t="shared" si="4"/>
        <v>FINALIZADO</v>
      </c>
    </row>
    <row r="93" spans="1:19" ht="45" x14ac:dyDescent="0.25">
      <c r="A93" s="13">
        <v>45834</v>
      </c>
      <c r="B93" s="13">
        <v>45834</v>
      </c>
      <c r="C93" s="61" t="s">
        <v>107</v>
      </c>
      <c r="D93" s="6" t="s">
        <v>114</v>
      </c>
      <c r="E93" s="7"/>
      <c r="F93" s="14"/>
      <c r="G93" s="8" t="s">
        <v>17</v>
      </c>
      <c r="H93" s="8" t="s">
        <v>125</v>
      </c>
      <c r="I93" s="15" t="s">
        <v>20</v>
      </c>
      <c r="J93" s="16">
        <v>4</v>
      </c>
      <c r="K93" s="17">
        <v>4</v>
      </c>
      <c r="L93" s="17"/>
      <c r="M93" s="17"/>
      <c r="N93" s="17"/>
      <c r="O93" s="17"/>
      <c r="P93" s="17"/>
      <c r="Q93" s="10">
        <f t="shared" si="5"/>
        <v>4</v>
      </c>
      <c r="R93" s="11">
        <f t="shared" si="3"/>
        <v>1</v>
      </c>
      <c r="S93" s="12" t="str">
        <f t="shared" si="4"/>
        <v>FINALIZADO</v>
      </c>
    </row>
    <row r="94" spans="1:19" ht="45" x14ac:dyDescent="0.25">
      <c r="A94" s="13">
        <v>45834</v>
      </c>
      <c r="B94" s="13">
        <v>45834</v>
      </c>
      <c r="C94" s="61" t="s">
        <v>107</v>
      </c>
      <c r="D94" s="6" t="s">
        <v>114</v>
      </c>
      <c r="E94" s="7"/>
      <c r="F94" s="14"/>
      <c r="G94" s="8" t="s">
        <v>17</v>
      </c>
      <c r="H94" s="8" t="s">
        <v>121</v>
      </c>
      <c r="I94" s="15" t="s">
        <v>20</v>
      </c>
      <c r="J94" s="16">
        <v>21</v>
      </c>
      <c r="K94" s="17">
        <v>21</v>
      </c>
      <c r="L94" s="17"/>
      <c r="M94" s="17"/>
      <c r="N94" s="17"/>
      <c r="O94" s="17"/>
      <c r="P94" s="17"/>
      <c r="Q94" s="10">
        <f t="shared" si="5"/>
        <v>21</v>
      </c>
      <c r="R94" s="11">
        <f t="shared" si="3"/>
        <v>1</v>
      </c>
      <c r="S94" s="12" t="str">
        <f t="shared" si="4"/>
        <v>FINALIZADO</v>
      </c>
    </row>
    <row r="95" spans="1:19" ht="45" x14ac:dyDescent="0.25">
      <c r="A95" s="13">
        <v>45834</v>
      </c>
      <c r="B95" s="13">
        <v>45834</v>
      </c>
      <c r="C95" s="61" t="s">
        <v>107</v>
      </c>
      <c r="D95" s="6" t="s">
        <v>114</v>
      </c>
      <c r="E95" s="7"/>
      <c r="F95" s="14"/>
      <c r="G95" s="8" t="s">
        <v>17</v>
      </c>
      <c r="H95" s="8" t="s">
        <v>122</v>
      </c>
      <c r="I95" s="15" t="s">
        <v>20</v>
      </c>
      <c r="J95" s="16">
        <v>4</v>
      </c>
      <c r="K95" s="17">
        <v>4</v>
      </c>
      <c r="L95" s="17"/>
      <c r="M95" s="17"/>
      <c r="N95" s="17"/>
      <c r="O95" s="17"/>
      <c r="P95" s="17"/>
      <c r="Q95" s="10">
        <f t="shared" si="5"/>
        <v>4</v>
      </c>
      <c r="R95" s="11">
        <f t="shared" si="3"/>
        <v>1</v>
      </c>
      <c r="S95" s="12" t="str">
        <f t="shared" si="4"/>
        <v>FINALIZADO</v>
      </c>
    </row>
    <row r="96" spans="1:19" ht="45" x14ac:dyDescent="0.25">
      <c r="A96" s="13">
        <v>45834</v>
      </c>
      <c r="B96" s="13">
        <v>45834</v>
      </c>
      <c r="C96" s="61" t="s">
        <v>107</v>
      </c>
      <c r="D96" s="6" t="s">
        <v>114</v>
      </c>
      <c r="E96" s="7"/>
      <c r="F96" s="14"/>
      <c r="G96" s="8" t="s">
        <v>17</v>
      </c>
      <c r="H96" s="8" t="s">
        <v>123</v>
      </c>
      <c r="I96" s="15" t="s">
        <v>20</v>
      </c>
      <c r="J96" s="16">
        <v>4</v>
      </c>
      <c r="K96" s="17">
        <v>4</v>
      </c>
      <c r="L96" s="17"/>
      <c r="M96" s="17"/>
      <c r="N96" s="17"/>
      <c r="O96" s="17"/>
      <c r="P96" s="17"/>
      <c r="Q96" s="10">
        <f t="shared" si="5"/>
        <v>4</v>
      </c>
      <c r="R96" s="11">
        <f t="shared" si="3"/>
        <v>1</v>
      </c>
      <c r="S96" s="12" t="str">
        <f t="shared" si="4"/>
        <v>FINALIZADO</v>
      </c>
    </row>
    <row r="97" spans="1:19" ht="45" x14ac:dyDescent="0.25">
      <c r="A97" s="13">
        <v>45834</v>
      </c>
      <c r="B97" s="13">
        <v>45834</v>
      </c>
      <c r="C97" s="61" t="s">
        <v>107</v>
      </c>
      <c r="D97" s="6" t="s">
        <v>114</v>
      </c>
      <c r="E97" s="14"/>
      <c r="F97" s="14"/>
      <c r="G97" s="8" t="s">
        <v>17</v>
      </c>
      <c r="H97" s="8" t="s">
        <v>124</v>
      </c>
      <c r="I97" s="15" t="s">
        <v>20</v>
      </c>
      <c r="J97" s="16">
        <v>21</v>
      </c>
      <c r="K97" s="17">
        <v>21</v>
      </c>
      <c r="L97" s="17"/>
      <c r="M97" s="17"/>
      <c r="N97" s="17"/>
      <c r="O97" s="17"/>
      <c r="P97" s="17"/>
      <c r="Q97" s="10">
        <f t="shared" si="5"/>
        <v>21</v>
      </c>
      <c r="R97" s="11">
        <f t="shared" si="3"/>
        <v>1</v>
      </c>
      <c r="S97" s="12" t="str">
        <f t="shared" si="4"/>
        <v>FINALIZADO</v>
      </c>
    </row>
    <row r="98" spans="1:19" ht="45" x14ac:dyDescent="0.25">
      <c r="A98" s="13">
        <v>45834</v>
      </c>
      <c r="B98" s="13">
        <v>45834</v>
      </c>
      <c r="C98" s="61" t="s">
        <v>107</v>
      </c>
      <c r="D98" s="6" t="s">
        <v>114</v>
      </c>
      <c r="E98" s="14"/>
      <c r="F98" s="14"/>
      <c r="G98" s="8" t="s">
        <v>17</v>
      </c>
      <c r="H98" s="15" t="s">
        <v>126</v>
      </c>
      <c r="I98" s="15" t="s">
        <v>20</v>
      </c>
      <c r="J98" s="16">
        <v>1</v>
      </c>
      <c r="K98" s="17">
        <v>1</v>
      </c>
      <c r="L98" s="10"/>
      <c r="M98" s="10"/>
      <c r="N98" s="10"/>
      <c r="O98" s="10"/>
      <c r="P98" s="10"/>
      <c r="Q98" s="10">
        <f t="shared" si="5"/>
        <v>1</v>
      </c>
      <c r="R98" s="11">
        <f t="shared" si="3"/>
        <v>1</v>
      </c>
      <c r="S98" s="12" t="str">
        <f t="shared" si="4"/>
        <v>FINALIZADO</v>
      </c>
    </row>
    <row r="99" spans="1:19" ht="60" x14ac:dyDescent="0.25">
      <c r="A99" s="13">
        <v>45835</v>
      </c>
      <c r="B99" s="13">
        <v>45835</v>
      </c>
      <c r="C99" s="61" t="s">
        <v>107</v>
      </c>
      <c r="D99" s="6" t="s">
        <v>111</v>
      </c>
      <c r="E99" s="14"/>
      <c r="F99" s="14"/>
      <c r="G99" s="8" t="s">
        <v>17</v>
      </c>
      <c r="H99" s="15" t="s">
        <v>127</v>
      </c>
      <c r="I99" s="15" t="s">
        <v>18</v>
      </c>
      <c r="J99" s="16">
        <v>10</v>
      </c>
      <c r="K99" s="17">
        <v>10</v>
      </c>
      <c r="L99" s="10"/>
      <c r="M99" s="10"/>
      <c r="N99" s="10"/>
      <c r="O99" s="10"/>
      <c r="P99" s="10"/>
      <c r="Q99" s="10">
        <f t="shared" si="5"/>
        <v>10</v>
      </c>
      <c r="R99" s="11">
        <f t="shared" si="3"/>
        <v>1</v>
      </c>
      <c r="S99" s="12" t="str">
        <f t="shared" si="4"/>
        <v>FINALIZADO</v>
      </c>
    </row>
    <row r="100" spans="1:19" ht="60" x14ac:dyDescent="0.25">
      <c r="A100" s="13">
        <v>45835</v>
      </c>
      <c r="B100" s="13">
        <v>45835</v>
      </c>
      <c r="C100" s="61" t="s">
        <v>107</v>
      </c>
      <c r="D100" s="6" t="s">
        <v>108</v>
      </c>
      <c r="E100" s="14" t="s">
        <v>58</v>
      </c>
      <c r="F100" s="14" t="s">
        <v>128</v>
      </c>
      <c r="G100" s="8" t="s">
        <v>19</v>
      </c>
      <c r="H100" s="15" t="s">
        <v>128</v>
      </c>
      <c r="I100" s="15" t="s">
        <v>18</v>
      </c>
      <c r="J100" s="16">
        <v>972</v>
      </c>
      <c r="K100" s="17">
        <v>972</v>
      </c>
      <c r="L100" s="17"/>
      <c r="M100" s="17"/>
      <c r="N100" s="17"/>
      <c r="O100" s="17"/>
      <c r="P100" s="17"/>
      <c r="Q100" s="10">
        <f t="shared" si="5"/>
        <v>972</v>
      </c>
      <c r="R100" s="11">
        <f t="shared" si="3"/>
        <v>1</v>
      </c>
      <c r="S100" s="12" t="str">
        <f t="shared" si="4"/>
        <v>FINALIZADO</v>
      </c>
    </row>
    <row r="101" spans="1:19" ht="60" x14ac:dyDescent="0.25">
      <c r="A101" s="13">
        <v>45835</v>
      </c>
      <c r="B101" s="13">
        <v>45746</v>
      </c>
      <c r="C101" s="61" t="s">
        <v>107</v>
      </c>
      <c r="D101" s="6" t="s">
        <v>108</v>
      </c>
      <c r="E101" s="14" t="s">
        <v>58</v>
      </c>
      <c r="F101" s="14" t="s">
        <v>129</v>
      </c>
      <c r="G101" s="8" t="s">
        <v>19</v>
      </c>
      <c r="H101" s="8" t="s">
        <v>129</v>
      </c>
      <c r="I101" s="15" t="s">
        <v>18</v>
      </c>
      <c r="J101" s="9">
        <v>1135</v>
      </c>
      <c r="K101" s="10">
        <v>200</v>
      </c>
      <c r="L101" s="10">
        <v>935</v>
      </c>
      <c r="M101" s="10"/>
      <c r="N101" s="10"/>
      <c r="O101" s="10"/>
      <c r="P101" s="10"/>
      <c r="Q101" s="10">
        <f t="shared" si="5"/>
        <v>1135</v>
      </c>
      <c r="R101" s="11">
        <f t="shared" si="3"/>
        <v>1</v>
      </c>
      <c r="S101" s="12" t="str">
        <f t="shared" si="4"/>
        <v>FINALIZADO</v>
      </c>
    </row>
    <row r="102" spans="1:19" ht="45" x14ac:dyDescent="0.25">
      <c r="A102" s="13">
        <v>45835</v>
      </c>
      <c r="B102" s="13">
        <v>45835</v>
      </c>
      <c r="C102" s="61" t="s">
        <v>107</v>
      </c>
      <c r="D102" s="6" t="s">
        <v>114</v>
      </c>
      <c r="E102" s="14" t="s">
        <v>58</v>
      </c>
      <c r="F102" s="14" t="s">
        <v>44</v>
      </c>
      <c r="G102" s="8" t="s">
        <v>19</v>
      </c>
      <c r="H102" s="15" t="s">
        <v>116</v>
      </c>
      <c r="I102" s="15" t="s">
        <v>24</v>
      </c>
      <c r="J102" s="16">
        <v>195</v>
      </c>
      <c r="K102" s="17">
        <v>195</v>
      </c>
      <c r="L102" s="10"/>
      <c r="M102" s="10"/>
      <c r="N102" s="10"/>
      <c r="O102" s="10"/>
      <c r="P102" s="10"/>
      <c r="Q102" s="10">
        <f t="shared" si="5"/>
        <v>195</v>
      </c>
      <c r="R102" s="11">
        <f t="shared" si="3"/>
        <v>1</v>
      </c>
      <c r="S102" s="12" t="str">
        <f t="shared" si="4"/>
        <v>FINALIZADO</v>
      </c>
    </row>
    <row r="103" spans="1:19" ht="45" x14ac:dyDescent="0.25">
      <c r="A103" s="13">
        <v>45832</v>
      </c>
      <c r="B103" s="13">
        <v>45832</v>
      </c>
      <c r="C103" s="61" t="s">
        <v>130</v>
      </c>
      <c r="D103" s="6" t="s">
        <v>131</v>
      </c>
      <c r="E103" s="14" t="s">
        <v>58</v>
      </c>
      <c r="F103" s="14" t="s">
        <v>132</v>
      </c>
      <c r="G103" s="14" t="s">
        <v>19</v>
      </c>
      <c r="H103" s="14"/>
      <c r="I103" s="14" t="s">
        <v>24</v>
      </c>
      <c r="J103" s="14">
        <v>325</v>
      </c>
      <c r="K103" s="14">
        <v>325</v>
      </c>
      <c r="L103" s="14"/>
      <c r="M103" s="14"/>
      <c r="N103" s="14"/>
      <c r="O103" s="14"/>
      <c r="P103" s="14"/>
      <c r="Q103" s="10">
        <f t="shared" si="5"/>
        <v>325</v>
      </c>
      <c r="R103" s="11">
        <f t="shared" si="3"/>
        <v>1</v>
      </c>
      <c r="S103" s="12" t="str">
        <f t="shared" si="4"/>
        <v>FINALIZADO</v>
      </c>
    </row>
    <row r="104" spans="1:19" ht="45" x14ac:dyDescent="0.25">
      <c r="A104" s="13">
        <v>45832</v>
      </c>
      <c r="B104" s="13">
        <v>45832</v>
      </c>
      <c r="C104" s="61" t="s">
        <v>130</v>
      </c>
      <c r="D104" s="6" t="s">
        <v>133</v>
      </c>
      <c r="E104" s="14" t="s">
        <v>58</v>
      </c>
      <c r="F104" s="14" t="s">
        <v>134</v>
      </c>
      <c r="G104" s="14" t="s">
        <v>19</v>
      </c>
      <c r="H104" s="14"/>
      <c r="I104" s="14" t="s">
        <v>20</v>
      </c>
      <c r="J104" s="14">
        <v>960</v>
      </c>
      <c r="K104" s="14">
        <v>960</v>
      </c>
      <c r="L104" s="14"/>
      <c r="M104" s="14"/>
      <c r="N104" s="14"/>
      <c r="O104" s="14"/>
      <c r="P104" s="14"/>
      <c r="Q104" s="10">
        <f t="shared" si="5"/>
        <v>960</v>
      </c>
      <c r="R104" s="11">
        <f t="shared" si="3"/>
        <v>1</v>
      </c>
      <c r="S104" s="12" t="str">
        <f t="shared" si="4"/>
        <v>FINALIZADO</v>
      </c>
    </row>
    <row r="105" spans="1:19" ht="45" x14ac:dyDescent="0.25">
      <c r="A105" s="13">
        <v>45833</v>
      </c>
      <c r="B105" s="13">
        <v>45835</v>
      </c>
      <c r="C105" s="61" t="s">
        <v>130</v>
      </c>
      <c r="D105" s="6" t="s">
        <v>133</v>
      </c>
      <c r="E105" s="14" t="s">
        <v>135</v>
      </c>
      <c r="F105" s="14" t="s">
        <v>136</v>
      </c>
      <c r="G105" s="14" t="s">
        <v>17</v>
      </c>
      <c r="H105" s="14" t="s">
        <v>137</v>
      </c>
      <c r="I105" s="14" t="s">
        <v>18</v>
      </c>
      <c r="J105" s="14">
        <v>1242</v>
      </c>
      <c r="K105" s="14">
        <v>660</v>
      </c>
      <c r="L105" s="14">
        <v>582</v>
      </c>
      <c r="M105" s="14"/>
      <c r="N105" s="14"/>
      <c r="O105" s="14"/>
      <c r="P105" s="14"/>
      <c r="Q105" s="10">
        <f t="shared" si="5"/>
        <v>1242</v>
      </c>
      <c r="R105" s="11">
        <f t="shared" si="3"/>
        <v>1</v>
      </c>
      <c r="S105" s="12" t="str">
        <f t="shared" si="4"/>
        <v>FINALIZADO</v>
      </c>
    </row>
    <row r="106" spans="1:19" ht="45" x14ac:dyDescent="0.25">
      <c r="A106" s="13">
        <v>45833</v>
      </c>
      <c r="B106" s="13">
        <v>45834</v>
      </c>
      <c r="C106" s="61" t="s">
        <v>130</v>
      </c>
      <c r="D106" s="6" t="s">
        <v>131</v>
      </c>
      <c r="E106" s="14" t="s">
        <v>138</v>
      </c>
      <c r="F106" s="14" t="s">
        <v>139</v>
      </c>
      <c r="G106" s="14" t="s">
        <v>17</v>
      </c>
      <c r="H106" s="14" t="s">
        <v>137</v>
      </c>
      <c r="I106" s="14" t="s">
        <v>18</v>
      </c>
      <c r="J106" s="14">
        <v>302</v>
      </c>
      <c r="K106" s="14">
        <v>302</v>
      </c>
      <c r="L106" s="14"/>
      <c r="M106" s="14"/>
      <c r="N106" s="14"/>
      <c r="O106" s="14"/>
      <c r="P106" s="14"/>
      <c r="Q106" s="10">
        <f t="shared" si="5"/>
        <v>302</v>
      </c>
      <c r="R106" s="11">
        <f t="shared" si="3"/>
        <v>1</v>
      </c>
      <c r="S106" s="12" t="str">
        <f t="shared" si="4"/>
        <v>FINALIZADO</v>
      </c>
    </row>
    <row r="107" spans="1:19" ht="45" x14ac:dyDescent="0.25">
      <c r="A107" s="13">
        <v>45834</v>
      </c>
      <c r="B107" s="13">
        <v>45834</v>
      </c>
      <c r="C107" s="61" t="s">
        <v>130</v>
      </c>
      <c r="D107" s="6" t="s">
        <v>131</v>
      </c>
      <c r="E107" s="14" t="s">
        <v>135</v>
      </c>
      <c r="F107" s="14" t="s">
        <v>136</v>
      </c>
      <c r="G107" s="14" t="s">
        <v>17</v>
      </c>
      <c r="H107" s="14" t="s">
        <v>137</v>
      </c>
      <c r="I107" s="14" t="s">
        <v>20</v>
      </c>
      <c r="J107" s="14">
        <v>179</v>
      </c>
      <c r="K107" s="14">
        <v>179</v>
      </c>
      <c r="L107" s="14"/>
      <c r="M107" s="14"/>
      <c r="N107" s="14"/>
      <c r="O107" s="14"/>
      <c r="P107" s="14"/>
      <c r="Q107" s="10">
        <f t="shared" si="5"/>
        <v>179</v>
      </c>
      <c r="R107" s="11">
        <f t="shared" si="3"/>
        <v>1</v>
      </c>
      <c r="S107" s="12" t="str">
        <f t="shared" si="4"/>
        <v>FINALIZADO</v>
      </c>
    </row>
    <row r="108" spans="1:19" ht="45" x14ac:dyDescent="0.25">
      <c r="A108" s="13">
        <v>45835</v>
      </c>
      <c r="B108" s="13">
        <v>45838</v>
      </c>
      <c r="C108" s="61" t="s">
        <v>130</v>
      </c>
      <c r="D108" s="6" t="s">
        <v>133</v>
      </c>
      <c r="E108" s="14" t="s">
        <v>58</v>
      </c>
      <c r="F108" s="14" t="s">
        <v>140</v>
      </c>
      <c r="G108" s="14" t="s">
        <v>19</v>
      </c>
      <c r="H108" s="14"/>
      <c r="I108" s="14" t="s">
        <v>20</v>
      </c>
      <c r="J108" s="14">
        <v>1272</v>
      </c>
      <c r="K108" s="14">
        <v>680</v>
      </c>
      <c r="L108" s="14">
        <v>592</v>
      </c>
      <c r="M108" s="14"/>
      <c r="N108" s="14"/>
      <c r="O108" s="14"/>
      <c r="P108" s="14"/>
      <c r="Q108" s="10">
        <f t="shared" si="5"/>
        <v>1272</v>
      </c>
      <c r="R108" s="11">
        <f t="shared" si="3"/>
        <v>1</v>
      </c>
      <c r="S108" s="12" t="str">
        <f t="shared" si="4"/>
        <v>FINALIZADO</v>
      </c>
    </row>
    <row r="109" spans="1:19" ht="45" x14ac:dyDescent="0.25">
      <c r="A109" s="5">
        <v>45835</v>
      </c>
      <c r="B109" s="5">
        <v>45838</v>
      </c>
      <c r="C109" s="61" t="s">
        <v>130</v>
      </c>
      <c r="D109" s="6" t="s">
        <v>131</v>
      </c>
      <c r="E109" s="7" t="s">
        <v>58</v>
      </c>
      <c r="F109" s="7" t="s">
        <v>141</v>
      </c>
      <c r="G109" s="8" t="s">
        <v>19</v>
      </c>
      <c r="H109" s="8"/>
      <c r="I109" s="8" t="s">
        <v>20</v>
      </c>
      <c r="J109" s="9">
        <v>514</v>
      </c>
      <c r="K109" s="10">
        <v>514</v>
      </c>
      <c r="L109" s="10"/>
      <c r="M109" s="10"/>
      <c r="N109" s="10"/>
      <c r="O109" s="10"/>
      <c r="P109" s="10"/>
      <c r="Q109" s="10">
        <f t="shared" si="5"/>
        <v>514</v>
      </c>
      <c r="R109" s="11">
        <f t="shared" si="3"/>
        <v>1</v>
      </c>
      <c r="S109" s="12" t="str">
        <f t="shared" si="4"/>
        <v>FINALIZADO</v>
      </c>
    </row>
  </sheetData>
  <conditionalFormatting sqref="S2:S109">
    <cfRule type="containsText" dxfId="118" priority="31" operator="containsText" text="CUIDADO">
      <formula>NOT(ISERROR(SEARCH("CUIDADO",S2)))</formula>
    </cfRule>
    <cfRule type="containsText" dxfId="117" priority="32" operator="containsText" text="EN PROCESO">
      <formula>NOT(ISERROR(SEARCH("EN PROCESO",S2)))</formula>
    </cfRule>
    <cfRule type="containsText" dxfId="116" priority="33" operator="containsText" text="OBSERVADO">
      <formula>NOT(ISERROR(SEARCH("OBSERVADO",S2)))</formula>
    </cfRule>
    <cfRule type="containsText" dxfId="115" priority="34" operator="containsText" text="FINALIZADO">
      <formula>NOT(ISERROR(SEARCH("FINALIZADO",S2)))</formula>
    </cfRule>
  </conditionalFormatting>
  <conditionalFormatting sqref="R2:R109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{0C2FBA4B-B8A4-4E92-9030-68ACFCEE5A9C}</x14:id>
        </ext>
      </extLst>
    </cfRule>
  </conditionalFormatting>
  <conditionalFormatting sqref="R2:R109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{5EE4DD58-EF98-4C3B-9538-7AAEF63342BC}</x14:id>
        </ext>
      </extLst>
    </cfRule>
  </conditionalFormatting>
  <dataValidations count="4">
    <dataValidation type="list" allowBlank="1" showInputMessage="1" showErrorMessage="1" sqref="H75:H77 G75:G102 G72:H73 G21:H29 G2:G3 G5:G20" xr:uid="{93237AB7-D9A8-4B4E-BCCF-B50C59B30BC7}">
      <formula1>"LIMPIEZA DE INFORMACIÓN, CONFORMACIÓN DE ABAS, CONFORMACION DE AGS, CONFORMACIÓN DE AES, TAREAS EXTRAS"</formula1>
    </dataValidation>
    <dataValidation type="list" allowBlank="1" showInputMessage="1" showErrorMessage="1" sqref="E72:E96 F22 F25:F27 E2:E29" xr:uid="{3CA60DD1-8C22-4C3E-B039-72FDE2394D2F}">
      <formula1>"TAREAS, PANDO, BENI, SANTA CRUZ, LA PAZ, ORURO, POTOSI, COCHABAMBA, CHUQUISACA, TARIJA"</formula1>
    </dataValidation>
    <dataValidation type="list" allowBlank="1" showInputMessage="1" showErrorMessage="1" sqref="I2:I109" xr:uid="{EE5617DC-C692-470C-B616-E6563A37FFBA}">
      <formula1>"FACIL, MEDIO, DIFICIL"</formula1>
    </dataValidation>
    <dataValidation type="list" allowBlank="1" showInputMessage="1" showErrorMessage="1" sqref="G4 G74:H74" xr:uid="{F76DE21C-F29C-4B76-A226-974C1F145A05}">
      <formula1>"LIMPIEZA DE INFORMACIÓN, CONFORMACIÓN DE ABAS, CONFORMACION DE AGS, CONFORMACIÓN DE AES, TAREAS EXTRAS, CONTROL DE CALIDAD"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2FBA4B-B8A4-4E92-9030-68ACFCEE5A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R2:R109</xm:sqref>
        </x14:conditionalFormatting>
        <x14:conditionalFormatting xmlns:xm="http://schemas.microsoft.com/office/excel/2006/main">
          <x14:cfRule type="dataBar" id="{5EE4DD58-EF98-4C3B-9538-7AAEF63342B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R2:R109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C327C-617F-49E2-BA1E-0169328E97AA}">
  <sheetPr codeName="Hoja3"/>
  <dimension ref="B1:X55"/>
  <sheetViews>
    <sheetView tabSelected="1" zoomScale="80" zoomScaleNormal="80" workbookViewId="0">
      <selection activeCell="A20" sqref="A20"/>
    </sheetView>
  </sheetViews>
  <sheetFormatPr baseColWidth="10" defaultRowHeight="15" x14ac:dyDescent="0.25"/>
  <cols>
    <col min="1" max="1" width="5.5703125" style="23" customWidth="1"/>
    <col min="2" max="2" width="3.5703125" style="23" customWidth="1"/>
    <col min="3" max="3" width="3.28515625" style="23" customWidth="1"/>
    <col min="4" max="4" width="29.5703125" style="23" customWidth="1"/>
    <col min="5" max="5" width="3" style="23" customWidth="1"/>
    <col min="6" max="6" width="27.28515625" style="23" customWidth="1"/>
    <col min="7" max="7" width="2.85546875" style="23" customWidth="1"/>
    <col min="8" max="8" width="25.140625" style="23" customWidth="1"/>
    <col min="9" max="9" width="3.85546875" style="23" customWidth="1"/>
    <col min="10" max="10" width="26.140625" style="23" customWidth="1"/>
    <col min="11" max="11" width="7" style="23" customWidth="1"/>
    <col min="12" max="12" width="11.42578125" style="23"/>
    <col min="13" max="13" width="5.85546875" style="23" customWidth="1"/>
    <col min="14" max="19" width="11.42578125" style="23"/>
    <col min="20" max="20" width="5" style="23" customWidth="1"/>
    <col min="21" max="21" width="53.5703125" style="23" customWidth="1"/>
    <col min="22" max="22" width="2.85546875" style="23" customWidth="1"/>
    <col min="23" max="23" width="16" style="23" customWidth="1"/>
    <col min="24" max="24" width="7.7109375" style="23" customWidth="1"/>
    <col min="25" max="16384" width="11.42578125" style="23"/>
  </cols>
  <sheetData>
    <row r="1" spans="2:24" ht="15.75" thickBot="1" x14ac:dyDescent="0.3"/>
    <row r="2" spans="2:24" ht="15" customHeight="1" x14ac:dyDescent="0.25">
      <c r="B2" s="24"/>
      <c r="C2" s="51" t="s">
        <v>37</v>
      </c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25"/>
    </row>
    <row r="3" spans="2:24" ht="15" customHeight="1" x14ac:dyDescent="0.25">
      <c r="B3" s="26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27"/>
    </row>
    <row r="4" spans="2:24" ht="15" customHeight="1" x14ac:dyDescent="0.25">
      <c r="B4" s="26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27"/>
    </row>
    <row r="5" spans="2:24" x14ac:dyDescent="0.25">
      <c r="B5" s="26"/>
      <c r="X5" s="28"/>
    </row>
    <row r="6" spans="2:24" x14ac:dyDescent="0.25">
      <c r="B6" s="26"/>
      <c r="X6" s="28"/>
    </row>
    <row r="7" spans="2:24" x14ac:dyDescent="0.25">
      <c r="B7" s="26"/>
      <c r="X7" s="28"/>
    </row>
    <row r="8" spans="2:24" x14ac:dyDescent="0.25">
      <c r="B8" s="26"/>
      <c r="X8" s="28"/>
    </row>
    <row r="9" spans="2:24" x14ac:dyDescent="0.25">
      <c r="B9" s="26"/>
      <c r="X9" s="28"/>
    </row>
    <row r="10" spans="2:24" x14ac:dyDescent="0.25">
      <c r="B10" s="26"/>
      <c r="X10" s="28"/>
    </row>
    <row r="11" spans="2:24" x14ac:dyDescent="0.25">
      <c r="B11" s="26"/>
      <c r="X11" s="28"/>
    </row>
    <row r="12" spans="2:24" ht="10.5" customHeight="1" x14ac:dyDescent="0.25">
      <c r="B12" s="26"/>
      <c r="X12" s="28"/>
    </row>
    <row r="13" spans="2:24" ht="18.75" customHeight="1" x14ac:dyDescent="0.25">
      <c r="B13" s="26"/>
      <c r="C13" s="53" t="s">
        <v>38</v>
      </c>
      <c r="D13" s="53"/>
      <c r="E13" s="53"/>
      <c r="F13" s="30"/>
      <c r="G13" s="30"/>
      <c r="U13" s="54" t="s">
        <v>39</v>
      </c>
      <c r="V13" s="54"/>
      <c r="W13" s="54"/>
      <c r="X13" s="28"/>
    </row>
    <row r="14" spans="2:24" ht="18.75" customHeight="1" x14ac:dyDescent="0.25">
      <c r="B14" s="26"/>
      <c r="C14" s="53"/>
      <c r="D14" s="53"/>
      <c r="E14" s="53"/>
      <c r="F14" s="30"/>
      <c r="G14" s="30"/>
      <c r="T14" s="31" t="s">
        <v>40</v>
      </c>
      <c r="U14" s="31" t="s">
        <v>2</v>
      </c>
      <c r="V14" s="31"/>
      <c r="W14" s="31" t="s">
        <v>15</v>
      </c>
      <c r="X14" s="28"/>
    </row>
    <row r="15" spans="2:24" ht="10.5" customHeight="1" x14ac:dyDescent="0.25">
      <c r="B15" s="26"/>
      <c r="C15" s="29"/>
      <c r="D15" s="29"/>
      <c r="E15" s="29"/>
      <c r="F15" s="30"/>
      <c r="G15" s="30"/>
      <c r="T15" s="31"/>
      <c r="U15" s="31"/>
      <c r="V15" s="31"/>
      <c r="W15" s="31"/>
      <c r="X15" s="28"/>
    </row>
    <row r="16" spans="2:24" ht="18" customHeight="1" x14ac:dyDescent="0.25">
      <c r="B16" s="26"/>
      <c r="C16" s="55">
        <f>DIN!A21</f>
        <v>0.96309264187519805</v>
      </c>
      <c r="D16" s="55"/>
      <c r="E16" s="55"/>
      <c r="F16" s="33"/>
      <c r="G16" s="33"/>
      <c r="T16" s="34">
        <v>1</v>
      </c>
      <c r="U16" s="34" t="str">
        <f>DIN!A4</f>
        <v>MISHEL JUSTINIANO AYLLON</v>
      </c>
      <c r="V16" s="34"/>
      <c r="W16" s="35">
        <f>DIN!B4</f>
        <v>1</v>
      </c>
      <c r="X16" s="28"/>
    </row>
    <row r="17" spans="2:24" ht="9" customHeight="1" x14ac:dyDescent="0.25">
      <c r="B17" s="26"/>
      <c r="C17" s="55"/>
      <c r="D17" s="55"/>
      <c r="E17" s="55"/>
      <c r="F17" s="33"/>
      <c r="G17" s="33"/>
      <c r="J17" s="36"/>
      <c r="K17" s="36"/>
      <c r="M17" s="36"/>
      <c r="N17" s="36"/>
      <c r="P17" s="36"/>
      <c r="Q17" s="36"/>
      <c r="S17" s="36"/>
      <c r="T17" s="34"/>
      <c r="U17" s="34"/>
      <c r="V17" s="34"/>
      <c r="W17" s="34"/>
      <c r="X17" s="28"/>
    </row>
    <row r="18" spans="2:24" ht="15" customHeight="1" x14ac:dyDescent="0.25">
      <c r="B18" s="26"/>
      <c r="C18" s="32"/>
      <c r="D18" s="32"/>
      <c r="E18" s="32"/>
      <c r="F18" s="33"/>
      <c r="G18" s="33"/>
      <c r="J18" s="36"/>
      <c r="K18" s="36"/>
      <c r="M18" s="36"/>
      <c r="N18" s="36"/>
      <c r="P18" s="36"/>
      <c r="Q18" s="36"/>
      <c r="S18" s="36"/>
      <c r="T18" s="34">
        <v>2</v>
      </c>
      <c r="U18" s="34" t="str">
        <f>DIN!A5</f>
        <v>MARIA GUADALUPE FLORES MALDONADO</v>
      </c>
      <c r="V18" s="34"/>
      <c r="W18" s="35">
        <f>DIN!B5</f>
        <v>1</v>
      </c>
      <c r="X18" s="28"/>
    </row>
    <row r="19" spans="2:24" ht="8.25" customHeight="1" x14ac:dyDescent="0.25">
      <c r="B19" s="26"/>
      <c r="C19" s="32"/>
      <c r="D19" s="32"/>
      <c r="E19" s="32"/>
      <c r="F19" s="33"/>
      <c r="G19" s="33"/>
      <c r="J19" s="36"/>
      <c r="K19" s="36"/>
      <c r="M19" s="36"/>
      <c r="N19" s="36"/>
      <c r="P19" s="36"/>
      <c r="Q19" s="36"/>
      <c r="S19" s="36"/>
      <c r="T19" s="34"/>
      <c r="U19" s="34"/>
      <c r="V19" s="34"/>
      <c r="W19" s="35"/>
      <c r="X19" s="28"/>
    </row>
    <row r="20" spans="2:24" ht="15" customHeight="1" x14ac:dyDescent="0.25">
      <c r="B20" s="26"/>
      <c r="C20" s="32"/>
      <c r="D20" s="32"/>
      <c r="E20" s="32"/>
      <c r="F20" s="33"/>
      <c r="G20" s="33"/>
      <c r="J20" s="36"/>
      <c r="K20" s="36"/>
      <c r="M20" s="36"/>
      <c r="N20" s="36"/>
      <c r="P20" s="36"/>
      <c r="Q20" s="36"/>
      <c r="S20" s="36"/>
      <c r="T20" s="34">
        <v>3</v>
      </c>
      <c r="U20" s="34" t="str">
        <f>DIN!A6</f>
        <v>KATIA CHOQUEHUANCA QUISPE</v>
      </c>
      <c r="V20" s="34"/>
      <c r="W20" s="35">
        <f>DIN!B6</f>
        <v>1</v>
      </c>
      <c r="X20" s="28"/>
    </row>
    <row r="21" spans="2:24" ht="6.75" customHeight="1" x14ac:dyDescent="0.25">
      <c r="B21" s="26"/>
      <c r="C21" s="32"/>
      <c r="D21" s="32"/>
      <c r="E21" s="32"/>
      <c r="F21" s="33"/>
      <c r="G21" s="33"/>
      <c r="J21" s="36"/>
      <c r="K21" s="36"/>
      <c r="M21" s="36"/>
      <c r="N21" s="36"/>
      <c r="P21" s="36"/>
      <c r="Q21" s="36"/>
      <c r="S21" s="36"/>
      <c r="T21" s="34"/>
      <c r="U21" s="34"/>
      <c r="V21" s="34"/>
      <c r="W21" s="34"/>
      <c r="X21" s="28"/>
    </row>
    <row r="22" spans="2:24" ht="15" customHeight="1" x14ac:dyDescent="0.25">
      <c r="B22" s="26"/>
      <c r="C22" s="32"/>
      <c r="D22" s="32"/>
      <c r="E22" s="32"/>
      <c r="F22" s="33"/>
      <c r="G22" s="33"/>
      <c r="J22" s="36"/>
      <c r="K22" s="36"/>
      <c r="M22" s="36"/>
      <c r="N22" s="36"/>
      <c r="P22" s="36"/>
      <c r="Q22" s="36"/>
      <c r="S22" s="36"/>
      <c r="T22" s="34">
        <v>4</v>
      </c>
      <c r="U22" s="34" t="str">
        <f>DIN!A7</f>
        <v>FRANK ANDRES BEJARANO TEJADA</v>
      </c>
      <c r="V22" s="34"/>
      <c r="W22" s="35">
        <f>DIN!B7</f>
        <v>1</v>
      </c>
      <c r="X22" s="28"/>
    </row>
    <row r="23" spans="2:24" ht="5.25" customHeight="1" x14ac:dyDescent="0.25">
      <c r="B23" s="26"/>
      <c r="C23" s="32"/>
      <c r="D23" s="32"/>
      <c r="E23" s="32"/>
      <c r="F23" s="33"/>
      <c r="G23" s="33"/>
      <c r="J23" s="36"/>
      <c r="K23" s="36"/>
      <c r="M23" s="36"/>
      <c r="N23" s="36"/>
      <c r="P23" s="36"/>
      <c r="Q23" s="36"/>
      <c r="S23" s="36"/>
      <c r="T23" s="34"/>
      <c r="U23" s="34"/>
      <c r="V23" s="34"/>
      <c r="W23" s="34"/>
      <c r="X23" s="28"/>
    </row>
    <row r="24" spans="2:24" ht="15" customHeight="1" x14ac:dyDescent="0.25">
      <c r="B24" s="26"/>
      <c r="C24" s="32"/>
      <c r="D24" s="32"/>
      <c r="E24" s="32"/>
      <c r="F24" s="33"/>
      <c r="G24" s="33"/>
      <c r="J24" s="36"/>
      <c r="K24" s="36"/>
      <c r="M24" s="36"/>
      <c r="N24" s="36"/>
      <c r="P24" s="36"/>
      <c r="Q24" s="36"/>
      <c r="S24" s="36"/>
      <c r="T24" s="34">
        <v>5</v>
      </c>
      <c r="U24" s="34" t="str">
        <f>DIN!A8</f>
        <v>ERICK YASID SEGALES CHACON</v>
      </c>
      <c r="V24" s="34"/>
      <c r="W24" s="35">
        <f>DIN!B8</f>
        <v>1</v>
      </c>
      <c r="X24" s="28"/>
    </row>
    <row r="25" spans="2:24" ht="6" customHeight="1" x14ac:dyDescent="0.25">
      <c r="B25" s="26"/>
      <c r="C25" s="32"/>
      <c r="D25" s="32"/>
      <c r="E25" s="32"/>
      <c r="F25" s="33"/>
      <c r="G25" s="33"/>
      <c r="J25" s="36"/>
      <c r="K25" s="36"/>
      <c r="M25" s="36"/>
      <c r="N25" s="36"/>
      <c r="P25" s="36"/>
      <c r="Q25" s="36"/>
      <c r="S25" s="36"/>
      <c r="T25" s="37"/>
      <c r="U25" s="37"/>
      <c r="V25" s="37"/>
      <c r="W25" s="37"/>
      <c r="X25" s="28"/>
    </row>
    <row r="26" spans="2:24" ht="15" customHeight="1" x14ac:dyDescent="0.25">
      <c r="B26" s="26"/>
      <c r="C26" s="32"/>
      <c r="D26" s="32"/>
      <c r="E26" s="32"/>
      <c r="F26" s="33"/>
      <c r="G26" s="33"/>
      <c r="J26" s="36"/>
      <c r="K26" s="36"/>
      <c r="M26" s="36"/>
      <c r="N26" s="36"/>
      <c r="P26" s="36"/>
      <c r="Q26" s="36"/>
      <c r="S26" s="36"/>
      <c r="T26" s="34">
        <v>6</v>
      </c>
      <c r="U26" s="34" t="str">
        <f>DIN!A9</f>
        <v>DILAN RAMIRO MARCA RIOS</v>
      </c>
      <c r="V26" s="37"/>
      <c r="W26" s="35">
        <f>DIN!B9</f>
        <v>1</v>
      </c>
      <c r="X26" s="28"/>
    </row>
    <row r="27" spans="2:24" ht="10.5" customHeight="1" x14ac:dyDescent="0.25">
      <c r="B27" s="26"/>
      <c r="C27" s="32"/>
      <c r="D27" s="32"/>
      <c r="E27" s="32"/>
      <c r="F27" s="33"/>
      <c r="G27" s="33"/>
      <c r="J27" s="36"/>
      <c r="K27" s="36"/>
      <c r="M27" s="36"/>
      <c r="N27" s="36"/>
      <c r="P27" s="36"/>
      <c r="Q27" s="36"/>
      <c r="S27" s="36"/>
      <c r="T27" s="37"/>
      <c r="U27" s="37"/>
      <c r="V27" s="37"/>
      <c r="W27" s="37"/>
      <c r="X27" s="28"/>
    </row>
    <row r="28" spans="2:24" ht="15" customHeight="1" x14ac:dyDescent="0.25">
      <c r="B28" s="26"/>
      <c r="C28" s="32"/>
      <c r="D28" s="32"/>
      <c r="E28" s="32"/>
      <c r="F28" s="33"/>
      <c r="G28" s="33"/>
      <c r="J28" s="36"/>
      <c r="K28" s="36"/>
      <c r="M28" s="36"/>
      <c r="N28" s="36"/>
      <c r="P28" s="36"/>
      <c r="Q28" s="36"/>
      <c r="S28" s="36"/>
      <c r="T28" s="34">
        <v>7</v>
      </c>
      <c r="U28" s="34" t="str">
        <f>DIN!A10</f>
        <v>JUAN GABRIEL SORIA MONTAÑO</v>
      </c>
      <c r="V28" s="37"/>
      <c r="W28" s="35">
        <f>DIN!B10</f>
        <v>1</v>
      </c>
      <c r="X28" s="28"/>
    </row>
    <row r="29" spans="2:24" ht="15" customHeight="1" x14ac:dyDescent="0.25">
      <c r="B29" s="26"/>
      <c r="C29" s="32"/>
      <c r="D29" s="32"/>
      <c r="E29" s="32"/>
      <c r="F29" s="33"/>
      <c r="G29" s="33"/>
      <c r="J29" s="36"/>
      <c r="K29" s="36"/>
      <c r="M29" s="36"/>
      <c r="N29" s="36"/>
      <c r="P29" s="36"/>
      <c r="Q29" s="36"/>
      <c r="S29" s="36"/>
      <c r="X29" s="28"/>
    </row>
    <row r="30" spans="2:24" ht="15" customHeight="1" x14ac:dyDescent="0.25">
      <c r="B30" s="26"/>
      <c r="C30" s="32"/>
      <c r="D30" s="32"/>
      <c r="E30" s="32"/>
      <c r="F30" s="33"/>
      <c r="G30" s="33"/>
      <c r="J30" s="36"/>
      <c r="K30" s="36"/>
      <c r="M30" s="36"/>
      <c r="N30" s="36"/>
      <c r="P30" s="36"/>
      <c r="Q30" s="36"/>
      <c r="S30" s="36"/>
      <c r="T30" s="37"/>
      <c r="U30" s="37"/>
      <c r="V30" s="37"/>
      <c r="W30" s="38"/>
      <c r="X30" s="28"/>
    </row>
    <row r="31" spans="2:24" ht="15" customHeight="1" x14ac:dyDescent="0.25">
      <c r="B31" s="26"/>
      <c r="C31" s="32"/>
      <c r="D31" s="32"/>
      <c r="E31" s="32"/>
      <c r="F31" s="33"/>
      <c r="G31" s="33"/>
      <c r="J31" s="36"/>
      <c r="K31" s="36"/>
      <c r="M31" s="36"/>
      <c r="N31" s="36"/>
      <c r="P31" s="36"/>
      <c r="Q31" s="36"/>
      <c r="S31" s="36"/>
      <c r="T31" s="37"/>
      <c r="U31" s="37"/>
      <c r="V31" s="37"/>
      <c r="W31" s="38"/>
      <c r="X31" s="28"/>
    </row>
    <row r="32" spans="2:24" ht="15" customHeight="1" x14ac:dyDescent="0.25">
      <c r="B32" s="26"/>
      <c r="C32" s="32"/>
      <c r="D32" s="57" t="s">
        <v>41</v>
      </c>
      <c r="E32" s="57"/>
      <c r="F32" s="57"/>
      <c r="G32" s="57"/>
      <c r="H32" s="57"/>
      <c r="I32" s="57"/>
      <c r="J32" s="57"/>
      <c r="K32" s="57"/>
      <c r="L32" s="57"/>
      <c r="M32" s="57"/>
      <c r="N32" s="36"/>
      <c r="P32" s="36"/>
      <c r="Q32" s="36"/>
      <c r="S32" s="36"/>
      <c r="T32" s="37"/>
      <c r="U32" s="37"/>
      <c r="V32" s="37"/>
      <c r="W32" s="38"/>
      <c r="X32" s="28"/>
    </row>
    <row r="33" spans="2:24" ht="15" customHeight="1" x14ac:dyDescent="0.25">
      <c r="B33" s="26"/>
      <c r="C33" s="32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36"/>
      <c r="P33" s="36"/>
      <c r="Q33" s="36"/>
      <c r="S33" s="36"/>
      <c r="T33" s="37"/>
      <c r="U33" s="37"/>
      <c r="V33" s="37"/>
      <c r="W33" s="38"/>
      <c r="X33" s="28"/>
    </row>
    <row r="34" spans="2:24" ht="15" customHeight="1" x14ac:dyDescent="0.25">
      <c r="B34" s="26"/>
      <c r="C34" s="32"/>
      <c r="J34" s="39"/>
      <c r="K34" s="36"/>
      <c r="M34" s="36"/>
      <c r="N34" s="36"/>
      <c r="P34" s="36"/>
      <c r="Q34" s="36"/>
      <c r="S34" s="36"/>
      <c r="T34" s="37"/>
      <c r="U34" s="37"/>
      <c r="V34" s="37"/>
      <c r="W34" s="38"/>
      <c r="X34" s="28"/>
    </row>
    <row r="35" spans="2:24" ht="15" customHeight="1" x14ac:dyDescent="0.25">
      <c r="B35" s="26"/>
      <c r="C35" s="32"/>
      <c r="D35" s="40" t="s">
        <v>46</v>
      </c>
      <c r="E35" s="40" t="s">
        <v>52</v>
      </c>
      <c r="F35" s="50">
        <f>DIN!A54</f>
        <v>26900</v>
      </c>
      <c r="G35" s="40"/>
      <c r="H35" s="40" t="s">
        <v>49</v>
      </c>
      <c r="I35" s="40" t="s">
        <v>52</v>
      </c>
      <c r="J35" s="41">
        <f>DIN!A63</f>
        <v>1152</v>
      </c>
      <c r="K35" s="36"/>
      <c r="M35" s="36"/>
      <c r="N35" s="36"/>
      <c r="P35" s="36"/>
      <c r="Q35" s="36"/>
      <c r="S35" s="36"/>
      <c r="T35" s="37"/>
      <c r="U35" s="37"/>
      <c r="V35" s="37"/>
      <c r="W35" s="38"/>
      <c r="X35" s="28"/>
    </row>
    <row r="36" spans="2:24" ht="15" customHeight="1" x14ac:dyDescent="0.25">
      <c r="B36" s="26"/>
      <c r="C36" s="32"/>
      <c r="D36" s="40"/>
      <c r="E36" s="40"/>
      <c r="F36" s="40"/>
      <c r="G36" s="40"/>
      <c r="H36" s="40"/>
      <c r="I36" s="42"/>
      <c r="J36" s="43"/>
      <c r="K36" s="36"/>
      <c r="M36" s="36"/>
      <c r="N36" s="36"/>
      <c r="P36" s="36"/>
      <c r="Q36" s="36"/>
      <c r="S36" s="36"/>
      <c r="T36" s="37"/>
      <c r="U36" s="37"/>
      <c r="V36" s="37"/>
      <c r="W36" s="38"/>
      <c r="X36" s="28"/>
    </row>
    <row r="37" spans="2:24" ht="15" customHeight="1" x14ac:dyDescent="0.25">
      <c r="B37" s="26"/>
      <c r="C37" s="32"/>
      <c r="D37" s="40" t="s">
        <v>47</v>
      </c>
      <c r="E37" s="40" t="s">
        <v>52</v>
      </c>
      <c r="F37" s="41">
        <f>DIN!A57</f>
        <v>13051</v>
      </c>
      <c r="G37" s="40"/>
      <c r="H37" s="40" t="s">
        <v>50</v>
      </c>
      <c r="I37" s="40" t="s">
        <v>52</v>
      </c>
      <c r="J37" s="41">
        <f>DIN!A66</f>
        <v>1739</v>
      </c>
      <c r="K37" s="36"/>
      <c r="M37" s="36"/>
      <c r="N37" s="36"/>
      <c r="P37" s="36"/>
      <c r="Q37" s="36"/>
      <c r="S37" s="36"/>
      <c r="T37" s="37"/>
      <c r="U37" s="37"/>
      <c r="V37" s="37"/>
      <c r="W37" s="37"/>
      <c r="X37" s="28"/>
    </row>
    <row r="38" spans="2:24" ht="15" customHeight="1" x14ac:dyDescent="0.25">
      <c r="B38" s="26"/>
      <c r="C38" s="32"/>
      <c r="D38" s="40"/>
      <c r="E38" s="40"/>
      <c r="F38" s="40"/>
      <c r="G38" s="40"/>
      <c r="H38" s="40"/>
      <c r="I38" s="42"/>
      <c r="J38" s="43"/>
      <c r="K38" s="36"/>
      <c r="M38" s="36"/>
      <c r="N38" s="36"/>
      <c r="P38" s="36"/>
      <c r="Q38" s="36"/>
      <c r="S38" s="36"/>
      <c r="X38" s="28"/>
    </row>
    <row r="39" spans="2:24" ht="15" customHeight="1" x14ac:dyDescent="0.25">
      <c r="B39" s="26"/>
      <c r="C39" s="32"/>
      <c r="D39" s="40" t="s">
        <v>48</v>
      </c>
      <c r="E39" s="40" t="s">
        <v>52</v>
      </c>
      <c r="F39" s="41">
        <f>DIN!A60</f>
        <v>5303</v>
      </c>
      <c r="G39" s="40"/>
      <c r="H39" s="40" t="s">
        <v>51</v>
      </c>
      <c r="I39" s="40" t="s">
        <v>52</v>
      </c>
      <c r="J39" s="43">
        <f>DIN!A69</f>
        <v>673</v>
      </c>
      <c r="K39" s="36"/>
      <c r="M39" s="36"/>
      <c r="N39" s="36"/>
      <c r="P39" s="36"/>
      <c r="Q39" s="36"/>
      <c r="S39" s="36"/>
      <c r="X39" s="28"/>
    </row>
    <row r="40" spans="2:24" ht="27.75" customHeight="1" x14ac:dyDescent="0.35">
      <c r="B40" s="26"/>
      <c r="D40" s="56" t="s">
        <v>45</v>
      </c>
      <c r="E40" s="44"/>
      <c r="F40" s="56" t="s">
        <v>42</v>
      </c>
      <c r="G40" s="44"/>
      <c r="H40" s="56" t="s">
        <v>43</v>
      </c>
      <c r="I40" s="44"/>
      <c r="J40" s="56" t="s">
        <v>19</v>
      </c>
      <c r="K40" s="36"/>
      <c r="L40" s="56" t="s">
        <v>17</v>
      </c>
      <c r="M40" s="56"/>
      <c r="N40" s="36"/>
      <c r="P40" s="36"/>
      <c r="Q40" s="36"/>
      <c r="S40" s="36"/>
      <c r="X40" s="28"/>
    </row>
    <row r="41" spans="2:24" ht="22.5" customHeight="1" x14ac:dyDescent="0.35">
      <c r="B41" s="26"/>
      <c r="D41" s="56"/>
      <c r="E41" s="44"/>
      <c r="F41" s="56"/>
      <c r="G41" s="44"/>
      <c r="H41" s="56"/>
      <c r="I41" s="44"/>
      <c r="J41" s="56"/>
      <c r="K41" s="36"/>
      <c r="L41" s="56"/>
      <c r="M41" s="56"/>
      <c r="N41" s="36"/>
      <c r="P41" s="36"/>
      <c r="Q41" s="36"/>
      <c r="S41" s="36"/>
      <c r="X41" s="28"/>
    </row>
    <row r="42" spans="2:24" ht="10.5" customHeight="1" x14ac:dyDescent="0.35">
      <c r="B42" s="26"/>
      <c r="D42" s="56"/>
      <c r="E42" s="45"/>
      <c r="F42" s="56"/>
      <c r="G42" s="45"/>
      <c r="H42" s="56"/>
      <c r="I42" s="45"/>
      <c r="J42" s="56"/>
      <c r="K42" s="36"/>
      <c r="L42" s="56"/>
      <c r="M42" s="56"/>
      <c r="N42" s="36"/>
      <c r="P42" s="36"/>
      <c r="Q42" s="36"/>
      <c r="S42" s="36"/>
      <c r="X42" s="28"/>
    </row>
    <row r="43" spans="2:24" ht="15" customHeight="1" x14ac:dyDescent="0.7">
      <c r="B43" s="26"/>
      <c r="D43" s="55">
        <f>DIN!B38</f>
        <v>1</v>
      </c>
      <c r="E43" s="46"/>
      <c r="F43" s="55">
        <f>DIN!B48</f>
        <v>0</v>
      </c>
      <c r="G43" s="46"/>
      <c r="H43" s="55">
        <f>DIN!B43</f>
        <v>0</v>
      </c>
      <c r="I43" s="46"/>
      <c r="J43" s="55">
        <f>DIN!B28</f>
        <v>0.92125089941266936</v>
      </c>
      <c r="L43" s="55">
        <f>DIN!B33</f>
        <v>1</v>
      </c>
      <c r="M43" s="55"/>
      <c r="X43" s="28"/>
    </row>
    <row r="44" spans="2:24" ht="15" customHeight="1" x14ac:dyDescent="0.7">
      <c r="B44" s="26"/>
      <c r="D44" s="55"/>
      <c r="E44" s="46"/>
      <c r="F44" s="55"/>
      <c r="G44" s="46"/>
      <c r="H44" s="55"/>
      <c r="I44" s="46"/>
      <c r="J44" s="55"/>
      <c r="L44" s="55"/>
      <c r="M44" s="55"/>
      <c r="X44" s="28"/>
    </row>
    <row r="45" spans="2:24" ht="15.75" thickBot="1" x14ac:dyDescent="0.3">
      <c r="B45" s="47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9"/>
    </row>
    <row r="49" ht="8.25" customHeight="1" x14ac:dyDescent="0.25"/>
    <row r="51" ht="9" customHeight="1" x14ac:dyDescent="0.25"/>
    <row r="53" ht="9" customHeight="1" x14ac:dyDescent="0.25"/>
    <row r="55" ht="9" customHeight="1" x14ac:dyDescent="0.25"/>
  </sheetData>
  <sheetProtection algorithmName="SHA-512" hashValue="XjPSj4tOTEE4UEQIWFw5roFHEtBC/fil5wsbtRjp+vGLEf1Pq/8ynUb5lnvQ4mgarcMbMZh13ia321TaNBhDiQ==" saltValue="dtZCamXVM33wc0t6+rhMTg==" spinCount="100000" sheet="1" scenarios="1" selectLockedCells="1" selectUnlockedCells="1"/>
  <mergeCells count="15">
    <mergeCell ref="D43:D44"/>
    <mergeCell ref="F43:F44"/>
    <mergeCell ref="H43:H44"/>
    <mergeCell ref="J43:J44"/>
    <mergeCell ref="L40:M42"/>
    <mergeCell ref="L43:M44"/>
    <mergeCell ref="C2:W4"/>
    <mergeCell ref="C13:E14"/>
    <mergeCell ref="U13:W13"/>
    <mergeCell ref="C16:E17"/>
    <mergeCell ref="D40:D42"/>
    <mergeCell ref="F40:F42"/>
    <mergeCell ref="H40:H42"/>
    <mergeCell ref="J40:J42"/>
    <mergeCell ref="D32:M33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DIN</vt:lpstr>
      <vt:lpstr>BASE</vt:lpstr>
      <vt:lpstr>TABLERO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Vicente David Rivera Thola</dc:creator>
  <cp:lastModifiedBy>Vicente David Rivera Thola</cp:lastModifiedBy>
  <dcterms:created xsi:type="dcterms:W3CDTF">2025-06-12T19:36:56Z</dcterms:created>
  <dcterms:modified xsi:type="dcterms:W3CDTF">2025-07-04T13:14:23Z</dcterms:modified>
</cp:coreProperties>
</file>